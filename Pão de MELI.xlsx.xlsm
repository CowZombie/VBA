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Zombie\Documents\"/>
    </mc:Choice>
  </mc:AlternateContent>
  <xr:revisionPtr revIDLastSave="0" documentId="13_ncr:1_{32AA5599-F404-49F8-AD7B-445FB382CEB1}" xr6:coauthVersionLast="45" xr6:coauthVersionMax="45" xr10:uidLastSave="{00000000-0000-0000-0000-000000000000}"/>
  <bookViews>
    <workbookView xWindow="-120" yWindow="-120" windowWidth="24240" windowHeight="13140" tabRatio="506" firstSheet="1" activeTab="7" xr2:uid="{00000000-000D-0000-FFFF-FFFF00000000}"/>
  </bookViews>
  <sheets>
    <sheet name="Preço stock" sheetId="3" r:id="rId1"/>
    <sheet name="Custo Producao" sheetId="7" r:id="rId2"/>
    <sheet name="BOLINHOS" sheetId="10" r:id="rId3"/>
    <sheet name="Quant stock" sheetId="4" r:id="rId4"/>
    <sheet name="Calculadora" sheetId="6" r:id="rId5"/>
    <sheet name="Clientes" sheetId="14" r:id="rId6"/>
    <sheet name="Vendas" sheetId="11" r:id="rId7"/>
    <sheet name="Home" sheetId="16" r:id="rId8"/>
  </sheets>
  <definedNames>
    <definedName name="tb_vendas">Tabela2[]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" i="11" l="1"/>
  <c r="G14" i="11"/>
  <c r="G13" i="11"/>
  <c r="G12" i="11"/>
  <c r="G11" i="11"/>
  <c r="G10" i="11"/>
  <c r="G9" i="11"/>
  <c r="G8" i="11"/>
  <c r="G7" i="11"/>
  <c r="G6" i="11"/>
  <c r="G5" i="11"/>
  <c r="G4" i="11"/>
  <c r="G3" i="11"/>
  <c r="M3" i="11"/>
  <c r="M4" i="11"/>
  <c r="M5" i="11"/>
  <c r="O5" i="11" s="1"/>
  <c r="M6" i="11"/>
  <c r="M7" i="11"/>
  <c r="O7" i="11" s="1"/>
  <c r="M8" i="11"/>
  <c r="M9" i="11"/>
  <c r="O9" i="11" s="1"/>
  <c r="M10" i="11"/>
  <c r="M11" i="11"/>
  <c r="O11" i="11" s="1"/>
  <c r="M12" i="11"/>
  <c r="M13" i="11"/>
  <c r="O13" i="11" s="1"/>
  <c r="M14" i="11"/>
  <c r="M2" i="11"/>
  <c r="D2" i="14"/>
  <c r="O3" i="11" l="1"/>
  <c r="O14" i="11"/>
  <c r="O10" i="11"/>
  <c r="O6" i="11"/>
  <c r="O4" i="11"/>
  <c r="O8" i="11"/>
  <c r="O12" i="11"/>
  <c r="E2" i="14"/>
  <c r="O2" i="11"/>
  <c r="D6" i="14"/>
  <c r="E6" i="14"/>
  <c r="D5" i="14"/>
  <c r="E5" i="14"/>
  <c r="D4" i="14"/>
  <c r="E4" i="14"/>
  <c r="D2" i="16" l="1"/>
  <c r="D3" i="14" l="1"/>
  <c r="E3" i="14" l="1"/>
  <c r="F8" i="10"/>
  <c r="C13" i="6"/>
  <c r="C7" i="6"/>
  <c r="K15" i="10"/>
  <c r="K14" i="10"/>
  <c r="F14" i="10"/>
  <c r="K13" i="10"/>
  <c r="F13" i="10"/>
  <c r="K12" i="10"/>
  <c r="F12" i="10"/>
  <c r="K11" i="10"/>
  <c r="F11" i="10"/>
  <c r="K10" i="10"/>
  <c r="F10" i="10"/>
  <c r="K9" i="10"/>
  <c r="F9" i="10"/>
  <c r="K8" i="10"/>
  <c r="K7" i="10"/>
  <c r="F7" i="10"/>
  <c r="K6" i="10"/>
  <c r="F6" i="10"/>
  <c r="K5" i="10"/>
  <c r="F5" i="10"/>
  <c r="K4" i="10"/>
  <c r="F4" i="10"/>
  <c r="K3" i="10"/>
  <c r="F3" i="10"/>
  <c r="B3" i="7"/>
  <c r="I33" i="3"/>
  <c r="B10" i="7" s="1"/>
  <c r="B2" i="7"/>
  <c r="B8" i="7"/>
  <c r="B7" i="7"/>
  <c r="B6" i="7"/>
  <c r="B5" i="7"/>
  <c r="V29" i="6" l="1"/>
  <c r="U29" i="6" l="1"/>
  <c r="U23" i="6"/>
  <c r="W29" i="6"/>
  <c r="X28" i="6"/>
  <c r="X27" i="6"/>
  <c r="X26" i="6"/>
  <c r="X25" i="6"/>
  <c r="W23" i="6"/>
  <c r="X22" i="6"/>
  <c r="X21" i="6"/>
  <c r="X20" i="6"/>
  <c r="X19" i="6"/>
  <c r="X23" i="6" l="1"/>
  <c r="X29" i="6"/>
  <c r="R29" i="6"/>
  <c r="R23" i="6"/>
  <c r="Q29" i="6"/>
  <c r="Q23" i="6"/>
  <c r="P29" i="6" l="1"/>
  <c r="P23" i="6"/>
  <c r="F11" i="6"/>
  <c r="F4" i="6"/>
  <c r="E11" i="6"/>
  <c r="E4" i="6"/>
  <c r="S19" i="6"/>
  <c r="S29" i="6"/>
  <c r="S28" i="6"/>
  <c r="S27" i="6"/>
  <c r="S26" i="6"/>
  <c r="S25" i="6"/>
  <c r="S23" i="6"/>
  <c r="S22" i="6"/>
  <c r="S21" i="6"/>
  <c r="S20" i="6"/>
  <c r="N26" i="6"/>
  <c r="N27" i="6"/>
  <c r="N28" i="6"/>
  <c r="N25" i="6"/>
  <c r="N20" i="6"/>
  <c r="N21" i="6"/>
  <c r="N22" i="6"/>
  <c r="N19" i="6"/>
  <c r="J25" i="6"/>
  <c r="J20" i="6"/>
  <c r="J21" i="6"/>
  <c r="J22" i="6"/>
  <c r="J26" i="6"/>
  <c r="J27" i="6"/>
  <c r="J28" i="6"/>
  <c r="J19" i="6"/>
  <c r="E25" i="6"/>
  <c r="E26" i="6"/>
  <c r="E27" i="6"/>
  <c r="E28" i="6"/>
  <c r="E20" i="6"/>
  <c r="E21" i="6"/>
  <c r="E22" i="6"/>
  <c r="E19" i="6"/>
  <c r="H23" i="6"/>
  <c r="G23" i="6"/>
  <c r="E7" i="6" l="1"/>
  <c r="F7" i="6"/>
  <c r="M29" i="6"/>
  <c r="M23" i="6"/>
  <c r="H7" i="6" l="1"/>
  <c r="L29" i="6"/>
  <c r="N29" i="6" s="1"/>
  <c r="L23" i="6"/>
  <c r="N23" i="6" s="1"/>
  <c r="I29" i="6" l="1"/>
  <c r="I23" i="6"/>
  <c r="J23" i="6" s="1"/>
  <c r="H29" i="6" l="1"/>
  <c r="G29" i="6" l="1"/>
  <c r="J29" i="6" s="1"/>
  <c r="D29" i="6" l="1"/>
  <c r="D23" i="6"/>
  <c r="B23" i="6"/>
  <c r="E23" i="6" s="1"/>
  <c r="B29" i="6"/>
  <c r="E29" i="6" s="1"/>
  <c r="C29" i="6"/>
  <c r="C23" i="6"/>
  <c r="J27" i="3" l="1"/>
  <c r="F30" i="3"/>
  <c r="H30" i="3"/>
  <c r="K30" i="3"/>
  <c r="M30" i="3"/>
  <c r="F29" i="3"/>
  <c r="H29" i="3"/>
  <c r="K29" i="3"/>
  <c r="M29" i="3"/>
  <c r="F28" i="3"/>
  <c r="H28" i="3"/>
  <c r="K28" i="3"/>
  <c r="M28" i="3"/>
  <c r="F27" i="3"/>
  <c r="H27" i="3"/>
  <c r="K27" i="3"/>
  <c r="L27" i="3" s="1"/>
  <c r="O27" i="3" s="1"/>
  <c r="M27" i="3"/>
  <c r="E30" i="3"/>
  <c r="G30" i="3" s="1"/>
  <c r="E29" i="3"/>
  <c r="G29" i="3" s="1"/>
  <c r="E28" i="3"/>
  <c r="G28" i="3" s="1"/>
  <c r="E27" i="3"/>
  <c r="G27" i="3" s="1"/>
  <c r="H3" i="3" l="1"/>
  <c r="F3" i="3"/>
  <c r="G4" i="3"/>
  <c r="G5" i="3"/>
  <c r="G6" i="3"/>
  <c r="G7" i="3"/>
  <c r="G8" i="3"/>
  <c r="G9" i="3"/>
  <c r="G10" i="3"/>
  <c r="G11" i="3"/>
  <c r="G12" i="3"/>
  <c r="G13" i="3"/>
  <c r="G14" i="3"/>
  <c r="G3" i="3"/>
  <c r="E4" i="3"/>
  <c r="E5" i="3"/>
  <c r="E6" i="3"/>
  <c r="E7" i="3"/>
  <c r="E8" i="3"/>
  <c r="E9" i="3"/>
  <c r="E10" i="3"/>
  <c r="E11" i="3"/>
  <c r="E12" i="3"/>
  <c r="E13" i="3"/>
  <c r="E14" i="3"/>
  <c r="E3" i="3"/>
  <c r="E15" i="3" l="1"/>
  <c r="K18" i="3"/>
  <c r="L18" i="3" s="1"/>
  <c r="O18" i="3" s="1"/>
  <c r="M18" i="3"/>
  <c r="G18" i="3"/>
  <c r="H18" i="3" s="1"/>
  <c r="E20" i="3"/>
  <c r="G20" i="3" s="1"/>
  <c r="H20" i="3" s="1"/>
  <c r="E21" i="3"/>
  <c r="G21" i="3" s="1"/>
  <c r="H21" i="3" s="1"/>
  <c r="E22" i="3"/>
  <c r="G22" i="3" s="1"/>
  <c r="H22" i="3" s="1"/>
  <c r="E23" i="3"/>
  <c r="F23" i="3" s="1"/>
  <c r="E24" i="3"/>
  <c r="G24" i="3" s="1"/>
  <c r="H24" i="3" s="1"/>
  <c r="E25" i="3"/>
  <c r="G25" i="3" s="1"/>
  <c r="H25" i="3" s="1"/>
  <c r="E26" i="3"/>
  <c r="G26" i="3" s="1"/>
  <c r="H26" i="3" s="1"/>
  <c r="E19" i="3"/>
  <c r="G19" i="3" s="1"/>
  <c r="H19" i="3" s="1"/>
  <c r="F18" i="3"/>
  <c r="F21" i="3"/>
  <c r="F22" i="3"/>
  <c r="F25" i="3"/>
  <c r="H17" i="3"/>
  <c r="F17" i="3"/>
  <c r="K20" i="3"/>
  <c r="K21" i="3"/>
  <c r="K22" i="3"/>
  <c r="K23" i="3"/>
  <c r="K24" i="3"/>
  <c r="K25" i="3"/>
  <c r="K26" i="3"/>
  <c r="K19" i="3"/>
  <c r="M20" i="3"/>
  <c r="M21" i="3"/>
  <c r="M22" i="3"/>
  <c r="M23" i="3"/>
  <c r="M24" i="3"/>
  <c r="M25" i="3"/>
  <c r="M26" i="3"/>
  <c r="M19" i="3"/>
  <c r="K4" i="3"/>
  <c r="K5" i="3"/>
  <c r="K6" i="3"/>
  <c r="K7" i="3"/>
  <c r="K8" i="3"/>
  <c r="K9" i="3"/>
  <c r="K10" i="3"/>
  <c r="K11" i="3"/>
  <c r="K12" i="3"/>
  <c r="K13" i="3"/>
  <c r="K14" i="3"/>
  <c r="K3" i="3"/>
  <c r="M4" i="3"/>
  <c r="M5" i="3"/>
  <c r="M6" i="3"/>
  <c r="M7" i="3"/>
  <c r="M8" i="3"/>
  <c r="M9" i="3"/>
  <c r="M10" i="3"/>
  <c r="M11" i="3"/>
  <c r="M12" i="3"/>
  <c r="M13" i="3"/>
  <c r="M14" i="3"/>
  <c r="M3" i="3"/>
  <c r="H33" i="3"/>
  <c r="H34" i="3"/>
  <c r="H32" i="3"/>
  <c r="G15" i="3"/>
  <c r="J22" i="3"/>
  <c r="J19" i="3"/>
  <c r="J3" i="3"/>
  <c r="F26" i="3" l="1"/>
  <c r="H13" i="3"/>
  <c r="F13" i="3"/>
  <c r="H9" i="3"/>
  <c r="F9" i="3"/>
  <c r="H5" i="3"/>
  <c r="F5" i="3"/>
  <c r="H12" i="3"/>
  <c r="F12" i="3"/>
  <c r="H8" i="3"/>
  <c r="F8" i="3"/>
  <c r="H4" i="3"/>
  <c r="F4" i="3"/>
  <c r="H11" i="3"/>
  <c r="F11" i="3"/>
  <c r="H7" i="3"/>
  <c r="F7" i="3"/>
  <c r="H14" i="3"/>
  <c r="F14" i="3"/>
  <c r="F10" i="3"/>
  <c r="H10" i="3"/>
  <c r="H6" i="3"/>
  <c r="F6" i="3"/>
  <c r="L3" i="3"/>
  <c r="O3" i="3" s="1"/>
  <c r="F15" i="3" s="1"/>
  <c r="F20" i="3"/>
  <c r="G23" i="3"/>
  <c r="H23" i="3" s="1"/>
  <c r="F24" i="3"/>
  <c r="F19" i="3"/>
  <c r="F32" i="3"/>
  <c r="F33" i="3"/>
  <c r="F34" i="3"/>
  <c r="M17" i="3"/>
  <c r="K17" i="3" s="1"/>
  <c r="L17" i="3" s="1"/>
  <c r="O17" i="3" s="1"/>
  <c r="E39" i="3" l="1"/>
  <c r="F37" i="3"/>
  <c r="E37" i="3"/>
  <c r="F39" i="3"/>
  <c r="F36" i="3"/>
  <c r="E36" i="3"/>
  <c r="H15" i="3"/>
  <c r="L19" i="3"/>
  <c r="O19" i="3" s="1"/>
  <c r="L22" i="3"/>
  <c r="O22" i="3" s="1"/>
  <c r="G37" i="3" l="1"/>
  <c r="G39" i="3"/>
  <c r="H39" i="3"/>
  <c r="H37" i="3"/>
  <c r="G36" i="3"/>
  <c r="H36" i="3"/>
  <c r="H38" i="3"/>
  <c r="G38" i="3"/>
  <c r="E38" i="3"/>
  <c r="F38" i="3"/>
</calcChain>
</file>

<file path=xl/sharedStrings.xml><?xml version="1.0" encoding="utf-8"?>
<sst xmlns="http://schemas.openxmlformats.org/spreadsheetml/2006/main" count="244" uniqueCount="131">
  <si>
    <t>Farinha de Trigo</t>
  </si>
  <si>
    <t>Ingredientes</t>
  </si>
  <si>
    <t>2 Xícara chá</t>
  </si>
  <si>
    <t>g</t>
  </si>
  <si>
    <t>Açucar Mascavo</t>
  </si>
  <si>
    <t>1/2 xicara chá</t>
  </si>
  <si>
    <t>Chocolate em Pó</t>
  </si>
  <si>
    <t>Fermento em pó</t>
  </si>
  <si>
    <t>1/2 colher chá</t>
  </si>
  <si>
    <t>Bircarbonato em pó</t>
  </si>
  <si>
    <t>2 colher chá</t>
  </si>
  <si>
    <t>Canela em Pó</t>
  </si>
  <si>
    <t>Cravo em pó</t>
  </si>
  <si>
    <t>l1 colher de café</t>
  </si>
  <si>
    <t>Nóz moscada em pó</t>
  </si>
  <si>
    <t>1/4 colher chá</t>
  </si>
  <si>
    <t>mg</t>
  </si>
  <si>
    <t>OVO</t>
  </si>
  <si>
    <t>un.</t>
  </si>
  <si>
    <t>Leite</t>
  </si>
  <si>
    <t>1 Xícara chá</t>
  </si>
  <si>
    <t>ml</t>
  </si>
  <si>
    <t>MEL</t>
  </si>
  <si>
    <t>1/2 Xícara chá</t>
  </si>
  <si>
    <t>Margarina</t>
  </si>
  <si>
    <t>2 colher Sopa</t>
  </si>
  <si>
    <t>Essência Baunilha</t>
  </si>
  <si>
    <t>1 colher chá</t>
  </si>
  <si>
    <t>Cobertura hocolate</t>
  </si>
  <si>
    <t>Leite condensado</t>
  </si>
  <si>
    <t>Preço</t>
  </si>
  <si>
    <t>Chocolate (cobertura)</t>
  </si>
  <si>
    <t>unid</t>
  </si>
  <si>
    <t>100g</t>
  </si>
  <si>
    <t>Doce de Leite</t>
  </si>
  <si>
    <t>LIQUIDOS</t>
  </si>
  <si>
    <t>Chocolate Nobre</t>
  </si>
  <si>
    <t xml:space="preserve">Essência / RUM </t>
  </si>
  <si>
    <t>FARINHAS</t>
  </si>
  <si>
    <t>Cobert e recheios</t>
  </si>
  <si>
    <t>cob</t>
  </si>
  <si>
    <t>Ganache</t>
  </si>
  <si>
    <t>Leite Condensado</t>
  </si>
  <si>
    <t>Chocolate Branco</t>
  </si>
  <si>
    <t>Creme de Leite</t>
  </si>
  <si>
    <t>Coco flocos</t>
  </si>
  <si>
    <t>Beijinho</t>
  </si>
  <si>
    <t>Embalagem</t>
  </si>
  <si>
    <t>Plástico</t>
  </si>
  <si>
    <t>Fita cetim</t>
  </si>
  <si>
    <t>Adesivo</t>
  </si>
  <si>
    <t>M</t>
  </si>
  <si>
    <t>$p/100 un</t>
  </si>
  <si>
    <t>1kg</t>
  </si>
  <si>
    <t>Por Bolin</t>
  </si>
  <si>
    <t xml:space="preserve"> ▲m</t>
  </si>
  <si>
    <t xml:space="preserve"> $G</t>
  </si>
  <si>
    <t xml:space="preserve"> ▲G</t>
  </si>
  <si>
    <t xml:space="preserve"> $m</t>
  </si>
  <si>
    <t>Masseira</t>
  </si>
  <si>
    <t>MASSA PÃO DE MEL</t>
  </si>
  <si>
    <t>RECHEIOS</t>
  </si>
  <si>
    <t>DL</t>
  </si>
  <si>
    <t>EMBALAGENS</t>
  </si>
  <si>
    <t>▲peso</t>
  </si>
  <si>
    <t>▲PREÇO</t>
  </si>
  <si>
    <t>KG</t>
  </si>
  <si>
    <t>CUSTO</t>
  </si>
  <si>
    <t>DOCE DE LEITE</t>
  </si>
  <si>
    <t>GANACHE</t>
  </si>
  <si>
    <t>BEIJINHO</t>
  </si>
  <si>
    <t>bolin</t>
  </si>
  <si>
    <t>EMBALADO</t>
  </si>
  <si>
    <t>CONDIÇÃO</t>
  </si>
  <si>
    <t>quant</t>
  </si>
  <si>
    <t>Maracujá</t>
  </si>
  <si>
    <t>Pózin maracuja</t>
  </si>
  <si>
    <t>Geleia maracuja</t>
  </si>
  <si>
    <t>MARACUJÁ</t>
  </si>
  <si>
    <t>Papel Manteiga</t>
  </si>
  <si>
    <t>Desmoldante</t>
  </si>
  <si>
    <t>Papel Toalha</t>
  </si>
  <si>
    <t>Gás</t>
  </si>
  <si>
    <t>ELETRICIDADE</t>
  </si>
  <si>
    <t>SACO PP</t>
  </si>
  <si>
    <t>GRANDE</t>
  </si>
  <si>
    <t>Novembro</t>
  </si>
  <si>
    <t>Dezembro</t>
  </si>
  <si>
    <t>Janeiro</t>
  </si>
  <si>
    <t>Fevereiro</t>
  </si>
  <si>
    <t>T</t>
  </si>
  <si>
    <t>Calculadora</t>
  </si>
  <si>
    <t>$$$</t>
  </si>
  <si>
    <t>BEIJ</t>
  </si>
  <si>
    <t>MARA</t>
  </si>
  <si>
    <t>GANA</t>
  </si>
  <si>
    <t>D. LEI</t>
  </si>
  <si>
    <t>▲</t>
  </si>
  <si>
    <t>▼</t>
  </si>
  <si>
    <t>MINI</t>
  </si>
  <si>
    <t>►</t>
  </si>
  <si>
    <t>Março</t>
  </si>
  <si>
    <t>MASSA</t>
  </si>
  <si>
    <t>EMBALAGEM</t>
  </si>
  <si>
    <t>MARACUJA</t>
  </si>
  <si>
    <t>KILO</t>
  </si>
  <si>
    <t>ITEM</t>
  </si>
  <si>
    <t>COBERTURA</t>
  </si>
  <si>
    <t>DATA</t>
  </si>
  <si>
    <t>Cliente</t>
  </si>
  <si>
    <t>Davi</t>
  </si>
  <si>
    <t>Total G</t>
  </si>
  <si>
    <t>Total M</t>
  </si>
  <si>
    <t>Uni G</t>
  </si>
  <si>
    <t>Uni M</t>
  </si>
  <si>
    <t>Nome</t>
  </si>
  <si>
    <t>Total Venda</t>
  </si>
  <si>
    <t xml:space="preserve">Data Cadastro </t>
  </si>
  <si>
    <t>Pedidos</t>
  </si>
  <si>
    <t xml:space="preserve">Valor </t>
  </si>
  <si>
    <t>D. LEI2</t>
  </si>
  <si>
    <t>GANA3</t>
  </si>
  <si>
    <t>BEIJ4</t>
  </si>
  <si>
    <t>MARA5</t>
  </si>
  <si>
    <t>HOJE</t>
  </si>
  <si>
    <t>Fernanda</t>
  </si>
  <si>
    <t>Buffet cristal</t>
  </si>
  <si>
    <t>Aline</t>
  </si>
  <si>
    <t>Numero</t>
  </si>
  <si>
    <t>EMPRESA</t>
  </si>
  <si>
    <t>19/04/2020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</si>
</sst>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R$&quot;\ * #,##0.00_-;\-&quot;R$&quot;\ * #,##0.00_-;_-&quot;R$&quot;\ * &quot;-&quot;??_-;_-@_-"/>
    <numFmt numFmtId="164" formatCode="&quot;$&quot;#,##0.00"/>
    <numFmt numFmtId="165" formatCode="_-&quot;R$&quot;\ * #,##0.00_-;\-&quot;R$&quot;\ * #,##0.00_-;_-&quot;R$&quot;\ * &quot;-&quot;??_-;_-@"/>
    <numFmt numFmtId="166" formatCode="_-&quot;R$&quot;\ * #,##0.000_-;\-&quot;R$&quot;\ * #,##0.000_-;_-&quot;R$&quot;\ * &quot;-&quot;??_-;_-@_-"/>
    <numFmt numFmtId="167" formatCode="0.000"/>
    <numFmt numFmtId="168" formatCode="&quot;R$&quot;\ #,##0.00"/>
  </numFmts>
  <fonts count="28" x14ac:knownFonts="1">
    <font>
      <sz val="11"/>
      <color theme="1"/>
      <name val="Arial"/>
    </font>
    <font>
      <sz val="11"/>
      <color theme="1"/>
      <name val="Calibri"/>
    </font>
    <font>
      <sz val="11"/>
      <color theme="1"/>
      <name val="Arial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rgb="FF000000"/>
      <name val="Arial"/>
      <family val="2"/>
    </font>
    <font>
      <b/>
      <sz val="16"/>
      <color rgb="FFFFFF00"/>
      <name val="Arial"/>
      <family val="2"/>
    </font>
    <font>
      <b/>
      <i/>
      <sz val="16"/>
      <color theme="1"/>
      <name val="Arial"/>
      <family val="2"/>
    </font>
    <font>
      <b/>
      <i/>
      <sz val="16"/>
      <color rgb="FFFFFF00"/>
      <name val="Arial"/>
      <family val="2"/>
    </font>
    <font>
      <b/>
      <sz val="20"/>
      <color rgb="FFFFFF00"/>
      <name val="Arial"/>
      <family val="2"/>
    </font>
    <font>
      <b/>
      <sz val="24"/>
      <color rgb="FF000000"/>
      <name val="Arial"/>
      <family val="2"/>
    </font>
    <font>
      <b/>
      <sz val="20"/>
      <color theme="1"/>
      <name val="Arial"/>
      <family val="2"/>
    </font>
    <font>
      <b/>
      <sz val="28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8"/>
      <color theme="1"/>
      <name val="Arial"/>
      <family val="2"/>
    </font>
    <font>
      <b/>
      <sz val="14"/>
      <color theme="0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6"/>
      <color rgb="FFFFFF99"/>
      <name val="Arial"/>
      <family val="2"/>
    </font>
    <font>
      <sz val="8"/>
      <name val="Arial"/>
      <family val="2"/>
    </font>
    <font>
      <b/>
      <sz val="28"/>
      <color rgb="FFFFFF99"/>
      <name val="Arial"/>
      <family val="2"/>
    </font>
    <font>
      <b/>
      <sz val="14"/>
      <name val="Arial"/>
      <family val="2"/>
    </font>
    <font>
      <b/>
      <sz val="18"/>
      <color rgb="FFFFFF99"/>
      <name val="Arial"/>
      <family val="2"/>
    </font>
    <font>
      <b/>
      <sz val="16"/>
      <color theme="0"/>
      <name val="Arial"/>
      <family val="2"/>
    </font>
    <font>
      <b/>
      <sz val="16"/>
      <color theme="5" tint="0.39997558519241921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D6973A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683104"/>
        <bgColor indexed="64"/>
      </patternFill>
    </fill>
    <fill>
      <patternFill patternType="solid">
        <fgColor theme="2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4B4B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75">
    <xf numFmtId="0" fontId="0" fillId="0" borderId="0" xfId="0" applyFont="1" applyAlignment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center"/>
    </xf>
    <xf numFmtId="0" fontId="7" fillId="0" borderId="0" xfId="0" applyFont="1" applyBorder="1" applyAlignment="1">
      <alignment horizontal="center" vertical="center" textRotation="90"/>
    </xf>
    <xf numFmtId="44" fontId="4" fillId="0" borderId="3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" fontId="4" fillId="0" borderId="0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65" fontId="4" fillId="0" borderId="0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44" fontId="6" fillId="3" borderId="0" xfId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4" fontId="4" fillId="0" borderId="0" xfId="1" applyFont="1" applyBorder="1" applyAlignment="1">
      <alignment horizontal="center" vertical="center"/>
    </xf>
    <xf numFmtId="1" fontId="6" fillId="3" borderId="0" xfId="0" applyNumberFormat="1" applyFont="1" applyFill="1" applyBorder="1" applyAlignment="1">
      <alignment horizontal="center" vertical="center"/>
    </xf>
    <xf numFmtId="0" fontId="7" fillId="11" borderId="3" xfId="0" applyFont="1" applyFill="1" applyBorder="1" applyAlignment="1">
      <alignment horizontal="center" vertical="center" textRotation="90"/>
    </xf>
    <xf numFmtId="0" fontId="7" fillId="3" borderId="3" xfId="0" applyFont="1" applyFill="1" applyBorder="1" applyAlignment="1">
      <alignment horizontal="center" vertical="center" textRotation="90"/>
    </xf>
    <xf numFmtId="0" fontId="7" fillId="3" borderId="4" xfId="0" applyFont="1" applyFill="1" applyBorder="1" applyAlignment="1">
      <alignment horizontal="center" vertical="center" textRotation="90"/>
    </xf>
    <xf numFmtId="0" fontId="7" fillId="11" borderId="9" xfId="0" applyFont="1" applyFill="1" applyBorder="1" applyAlignment="1">
      <alignment horizontal="center" vertical="center" textRotation="90"/>
    </xf>
    <xf numFmtId="0" fontId="8" fillId="3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left" vertical="center"/>
    </xf>
    <xf numFmtId="0" fontId="4" fillId="10" borderId="9" xfId="0" applyFont="1" applyFill="1" applyBorder="1" applyAlignment="1">
      <alignment horizontal="left" vertical="center"/>
    </xf>
    <xf numFmtId="0" fontId="6" fillId="3" borderId="9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left" vertical="center"/>
    </xf>
    <xf numFmtId="0" fontId="4" fillId="8" borderId="9" xfId="0" applyFont="1" applyFill="1" applyBorder="1" applyAlignment="1">
      <alignment horizontal="left" vertical="center"/>
    </xf>
    <xf numFmtId="0" fontId="4" fillId="0" borderId="11" xfId="0" applyFont="1" applyBorder="1" applyAlignment="1">
      <alignment horizontal="left" vertical="center"/>
    </xf>
    <xf numFmtId="164" fontId="3" fillId="12" borderId="10" xfId="0" applyNumberFormat="1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10" borderId="9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64" fontId="3" fillId="13" borderId="7" xfId="0" applyNumberFormat="1" applyFont="1" applyFill="1" applyBorder="1" applyAlignment="1">
      <alignment horizontal="center" vertical="center"/>
    </xf>
    <xf numFmtId="0" fontId="4" fillId="10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164" fontId="3" fillId="14" borderId="7" xfId="0" applyNumberFormat="1" applyFont="1" applyFill="1" applyBorder="1" applyAlignment="1">
      <alignment horizontal="center" vertical="center"/>
    </xf>
    <xf numFmtId="44" fontId="3" fillId="13" borderId="8" xfId="1" applyFont="1" applyFill="1" applyBorder="1" applyAlignment="1">
      <alignment horizontal="center" vertical="center"/>
    </xf>
    <xf numFmtId="44" fontId="4" fillId="0" borderId="4" xfId="1" applyFont="1" applyBorder="1" applyAlignment="1">
      <alignment horizontal="center" vertical="center"/>
    </xf>
    <xf numFmtId="44" fontId="4" fillId="10" borderId="4" xfId="1" applyFont="1" applyFill="1" applyBorder="1" applyAlignment="1">
      <alignment horizontal="center" vertical="center"/>
    </xf>
    <xf numFmtId="44" fontId="6" fillId="3" borderId="4" xfId="1" applyFont="1" applyFill="1" applyBorder="1" applyAlignment="1">
      <alignment horizontal="center" vertical="center"/>
    </xf>
    <xf numFmtId="44" fontId="3" fillId="14" borderId="8" xfId="1" applyFont="1" applyFill="1" applyBorder="1" applyAlignment="1">
      <alignment horizontal="center" vertical="center"/>
    </xf>
    <xf numFmtId="44" fontId="4" fillId="4" borderId="4" xfId="1" applyFont="1" applyFill="1" applyBorder="1" applyAlignment="1">
      <alignment horizontal="center" vertical="center"/>
    </xf>
    <xf numFmtId="44" fontId="4" fillId="8" borderId="4" xfId="1" applyFont="1" applyFill="1" applyBorder="1" applyAlignment="1">
      <alignment horizontal="center" vertical="center"/>
    </xf>
    <xf numFmtId="44" fontId="4" fillId="0" borderId="6" xfId="1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 vertical="center"/>
    </xf>
    <xf numFmtId="1" fontId="4" fillId="0" borderId="3" xfId="0" applyNumberFormat="1" applyFont="1" applyBorder="1" applyAlignment="1">
      <alignment horizontal="center" vertical="center"/>
    </xf>
    <xf numFmtId="1" fontId="4" fillId="0" borderId="4" xfId="0" applyNumberFormat="1" applyFont="1" applyBorder="1" applyAlignment="1">
      <alignment horizontal="center" vertical="center"/>
    </xf>
    <xf numFmtId="1" fontId="5" fillId="10" borderId="3" xfId="0" applyNumberFormat="1" applyFont="1" applyFill="1" applyBorder="1" applyAlignment="1">
      <alignment horizontal="center" vertical="center"/>
    </xf>
    <xf numFmtId="1" fontId="6" fillId="3" borderId="3" xfId="0" applyNumberFormat="1" applyFont="1" applyFill="1" applyBorder="1" applyAlignment="1">
      <alignment horizontal="center" vertical="center"/>
    </xf>
    <xf numFmtId="1" fontId="6" fillId="3" borderId="4" xfId="0" applyNumberFormat="1" applyFont="1" applyFill="1" applyBorder="1" applyAlignment="1">
      <alignment horizontal="center" vertical="center"/>
    </xf>
    <xf numFmtId="1" fontId="4" fillId="4" borderId="3" xfId="0" applyNumberFormat="1" applyFont="1" applyFill="1" applyBorder="1" applyAlignment="1">
      <alignment horizontal="center" vertical="center"/>
    </xf>
    <xf numFmtId="1" fontId="4" fillId="10" borderId="3" xfId="0" applyNumberFormat="1" applyFont="1" applyFill="1" applyBorder="1" applyAlignment="1">
      <alignment horizontal="center" vertical="center"/>
    </xf>
    <xf numFmtId="1" fontId="4" fillId="0" borderId="5" xfId="0" applyNumberFormat="1" applyFont="1" applyBorder="1" applyAlignment="1">
      <alignment horizontal="center" vertical="center"/>
    </xf>
    <xf numFmtId="1" fontId="4" fillId="0" borderId="6" xfId="0" applyNumberFormat="1" applyFont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2" fontId="4" fillId="0" borderId="3" xfId="0" applyNumberFormat="1" applyFont="1" applyBorder="1" applyAlignment="1">
      <alignment horizontal="center" vertical="center"/>
    </xf>
    <xf numFmtId="44" fontId="5" fillId="0" borderId="3" xfId="1" applyFont="1" applyBorder="1" applyAlignment="1">
      <alignment horizontal="center" vertical="center"/>
    </xf>
    <xf numFmtId="44" fontId="4" fillId="0" borderId="3" xfId="1" applyFont="1" applyBorder="1" applyAlignment="1">
      <alignment horizontal="center" vertical="center"/>
    </xf>
    <xf numFmtId="44" fontId="5" fillId="10" borderId="3" xfId="1" applyFont="1" applyFill="1" applyBorder="1" applyAlignment="1">
      <alignment horizontal="center" vertical="center"/>
    </xf>
    <xf numFmtId="44" fontId="6" fillId="3" borderId="3" xfId="1" applyFont="1" applyFill="1" applyBorder="1" applyAlignment="1">
      <alignment horizontal="center" vertical="center"/>
    </xf>
    <xf numFmtId="44" fontId="4" fillId="4" borderId="3" xfId="1" applyFont="1" applyFill="1" applyBorder="1" applyAlignment="1">
      <alignment horizontal="center" vertical="center"/>
    </xf>
    <xf numFmtId="44" fontId="4" fillId="10" borderId="3" xfId="1" applyFont="1" applyFill="1" applyBorder="1" applyAlignment="1">
      <alignment horizontal="center" vertical="center"/>
    </xf>
    <xf numFmtId="44" fontId="4" fillId="10" borderId="3" xfId="0" applyNumberFormat="1" applyFont="1" applyFill="1" applyBorder="1" applyAlignment="1">
      <alignment horizontal="center" vertical="center"/>
    </xf>
    <xf numFmtId="44" fontId="3" fillId="10" borderId="12" xfId="0" applyNumberFormat="1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6" fillId="14" borderId="12" xfId="0" applyFont="1" applyFill="1" applyBorder="1" applyAlignment="1">
      <alignment horizontal="center" vertical="center"/>
    </xf>
    <xf numFmtId="166" fontId="4" fillId="0" borderId="4" xfId="1" applyNumberFormat="1" applyFont="1" applyBorder="1" applyAlignment="1">
      <alignment horizontal="center" vertical="center"/>
    </xf>
    <xf numFmtId="166" fontId="4" fillId="0" borderId="6" xfId="1" applyNumberFormat="1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44" fontId="4" fillId="0" borderId="0" xfId="0" applyNumberFormat="1" applyFont="1" applyBorder="1" applyAlignment="1">
      <alignment vertical="center"/>
    </xf>
    <xf numFmtId="0" fontId="3" fillId="18" borderId="12" xfId="0" applyFont="1" applyFill="1" applyBorder="1" applyAlignment="1">
      <alignment horizontal="center" vertical="center"/>
    </xf>
    <xf numFmtId="0" fontId="3" fillId="0" borderId="12" xfId="0" applyNumberFormat="1" applyFont="1" applyBorder="1" applyAlignment="1">
      <alignment horizontal="center" vertical="center"/>
    </xf>
    <xf numFmtId="44" fontId="3" fillId="2" borderId="7" xfId="1" applyFont="1" applyFill="1" applyBorder="1" applyAlignment="1">
      <alignment horizontal="center" vertical="center"/>
    </xf>
    <xf numFmtId="44" fontId="3" fillId="2" borderId="8" xfId="1" applyFont="1" applyFill="1" applyBorder="1" applyAlignment="1">
      <alignment horizontal="center" vertical="center"/>
    </xf>
    <xf numFmtId="44" fontId="4" fillId="8" borderId="3" xfId="1" applyFon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horizontal="center" vertical="center"/>
    </xf>
    <xf numFmtId="44" fontId="4" fillId="0" borderId="4" xfId="1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1" fontId="3" fillId="10" borderId="12" xfId="0" applyNumberFormat="1" applyFont="1" applyFill="1" applyBorder="1" applyAlignment="1">
      <alignment horizontal="center" vertical="center"/>
    </xf>
    <xf numFmtId="1" fontId="3" fillId="4" borderId="12" xfId="0" applyNumberFormat="1" applyFont="1" applyFill="1" applyBorder="1" applyAlignment="1">
      <alignment horizontal="center" vertical="center"/>
    </xf>
    <xf numFmtId="1" fontId="4" fillId="3" borderId="0" xfId="0" applyNumberFormat="1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3" fillId="10" borderId="12" xfId="0" applyNumberFormat="1" applyFont="1" applyFill="1" applyBorder="1" applyAlignment="1">
      <alignment horizontal="center" vertical="center"/>
    </xf>
    <xf numFmtId="44" fontId="6" fillId="13" borderId="15" xfId="0" applyNumberFormat="1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 textRotation="90"/>
    </xf>
    <xf numFmtId="0" fontId="6" fillId="3" borderId="0" xfId="0" applyFont="1" applyFill="1" applyBorder="1" applyAlignment="1">
      <alignment horizontal="left" vertical="center"/>
    </xf>
    <xf numFmtId="165" fontId="6" fillId="3" borderId="0" xfId="0" applyNumberFormat="1" applyFont="1" applyFill="1" applyBorder="1" applyAlignment="1">
      <alignment horizontal="center" vertical="center"/>
    </xf>
    <xf numFmtId="0" fontId="8" fillId="15" borderId="3" xfId="0" applyFont="1" applyFill="1" applyBorder="1" applyAlignment="1">
      <alignment horizontal="center" vertical="center" textRotation="90"/>
    </xf>
    <xf numFmtId="44" fontId="3" fillId="4" borderId="12" xfId="0" applyNumberFormat="1" applyFont="1" applyFill="1" applyBorder="1" applyAlignment="1">
      <alignment horizontal="center" vertical="center"/>
    </xf>
    <xf numFmtId="44" fontId="6" fillId="14" borderId="12" xfId="0" applyNumberFormat="1" applyFont="1" applyFill="1" applyBorder="1" applyAlignment="1">
      <alignment horizontal="center" vertical="center"/>
    </xf>
    <xf numFmtId="0" fontId="6" fillId="11" borderId="7" xfId="0" applyFont="1" applyFill="1" applyBorder="1" applyAlignment="1">
      <alignment horizontal="center" vertical="center" textRotation="90"/>
    </xf>
    <xf numFmtId="0" fontId="6" fillId="11" borderId="10" xfId="0" applyFont="1" applyFill="1" applyBorder="1" applyAlignment="1">
      <alignment horizontal="center" vertical="center" textRotation="90"/>
    </xf>
    <xf numFmtId="0" fontId="6" fillId="3" borderId="17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13" borderId="12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" fontId="6" fillId="13" borderId="12" xfId="0" applyNumberFormat="1" applyFont="1" applyFill="1" applyBorder="1" applyAlignment="1">
      <alignment horizontal="center" vertical="center"/>
    </xf>
    <xf numFmtId="1" fontId="6" fillId="14" borderId="12" xfId="0" applyNumberFormat="1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left" vertical="center"/>
    </xf>
    <xf numFmtId="0" fontId="3" fillId="16" borderId="19" xfId="0" applyFont="1" applyFill="1" applyBorder="1" applyAlignment="1">
      <alignment horizontal="left" vertical="center"/>
    </xf>
    <xf numFmtId="0" fontId="4" fillId="5" borderId="7" xfId="0" applyFont="1" applyFill="1" applyBorder="1" applyAlignment="1">
      <alignment horizontal="center" vertical="center"/>
    </xf>
    <xf numFmtId="44" fontId="4" fillId="5" borderId="8" xfId="1" applyFont="1" applyFill="1" applyBorder="1" applyAlignment="1">
      <alignment horizontal="center" vertical="center"/>
    </xf>
    <xf numFmtId="0" fontId="4" fillId="16" borderId="3" xfId="0" applyFont="1" applyFill="1" applyBorder="1" applyAlignment="1">
      <alignment horizontal="center" vertical="center"/>
    </xf>
    <xf numFmtId="44" fontId="4" fillId="16" borderId="4" xfId="1" applyFont="1" applyFill="1" applyBorder="1" applyAlignment="1">
      <alignment horizontal="center" vertical="center"/>
    </xf>
    <xf numFmtId="44" fontId="4" fillId="5" borderId="7" xfId="0" applyNumberFormat="1" applyFont="1" applyFill="1" applyBorder="1" applyAlignment="1">
      <alignment horizontal="center" vertical="center"/>
    </xf>
    <xf numFmtId="44" fontId="4" fillId="16" borderId="3" xfId="0" applyNumberFormat="1" applyFont="1" applyFill="1" applyBorder="1" applyAlignment="1">
      <alignment horizontal="center" vertical="center"/>
    </xf>
    <xf numFmtId="167" fontId="4" fillId="0" borderId="3" xfId="0" applyNumberFormat="1" applyFont="1" applyBorder="1" applyAlignment="1">
      <alignment horizontal="center" vertical="center"/>
    </xf>
    <xf numFmtId="167" fontId="6" fillId="13" borderId="15" xfId="0" applyNumberFormat="1" applyFont="1" applyFill="1" applyBorder="1" applyAlignment="1">
      <alignment horizontal="center" vertical="center"/>
    </xf>
    <xf numFmtId="167" fontId="4" fillId="10" borderId="3" xfId="0" applyNumberFormat="1" applyFont="1" applyFill="1" applyBorder="1" applyAlignment="1">
      <alignment horizontal="center" vertical="center"/>
    </xf>
    <xf numFmtId="167" fontId="6" fillId="14" borderId="7" xfId="0" applyNumberFormat="1" applyFont="1" applyFill="1" applyBorder="1" applyAlignment="1">
      <alignment horizontal="center" vertical="center"/>
    </xf>
    <xf numFmtId="166" fontId="4" fillId="10" borderId="4" xfId="1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44" fontId="4" fillId="10" borderId="0" xfId="1" applyFont="1" applyFill="1" applyBorder="1" applyAlignment="1">
      <alignment horizontal="center" vertical="center"/>
    </xf>
    <xf numFmtId="0" fontId="3" fillId="9" borderId="20" xfId="0" applyFont="1" applyFill="1" applyBorder="1" applyAlignment="1">
      <alignment horizontal="left" vertical="center"/>
    </xf>
    <xf numFmtId="0" fontId="4" fillId="9" borderId="3" xfId="0" applyFont="1" applyFill="1" applyBorder="1" applyAlignment="1">
      <alignment horizontal="center" vertical="center"/>
    </xf>
    <xf numFmtId="44" fontId="4" fillId="9" borderId="3" xfId="0" applyNumberFormat="1" applyFont="1" applyFill="1" applyBorder="1" applyAlignment="1">
      <alignment horizontal="center" vertical="center"/>
    </xf>
    <xf numFmtId="44" fontId="4" fillId="9" borderId="4" xfId="1" applyFont="1" applyFill="1" applyBorder="1" applyAlignment="1">
      <alignment horizontal="center" vertical="center"/>
    </xf>
    <xf numFmtId="0" fontId="3" fillId="18" borderId="15" xfId="0" applyFont="1" applyFill="1" applyBorder="1" applyAlignment="1">
      <alignment horizontal="left" vertical="center"/>
    </xf>
    <xf numFmtId="0" fontId="4" fillId="18" borderId="12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left" vertical="center"/>
    </xf>
    <xf numFmtId="0" fontId="4" fillId="0" borderId="9" xfId="0" applyFont="1" applyFill="1" applyBorder="1" applyAlignment="1">
      <alignment horizontal="center" vertical="center"/>
    </xf>
    <xf numFmtId="44" fontId="4" fillId="0" borderId="3" xfId="0" applyNumberFormat="1" applyFont="1" applyFill="1" applyBorder="1" applyAlignment="1">
      <alignment horizontal="center" vertical="center"/>
    </xf>
    <xf numFmtId="44" fontId="4" fillId="0" borderId="0" xfId="1" applyFont="1" applyFill="1" applyBorder="1" applyAlignment="1">
      <alignment horizontal="center" vertical="center"/>
    </xf>
    <xf numFmtId="1" fontId="4" fillId="19" borderId="0" xfId="0" applyNumberFormat="1" applyFont="1" applyFill="1" applyAlignment="1">
      <alignment horizontal="center" vertical="center"/>
    </xf>
    <xf numFmtId="44" fontId="4" fillId="18" borderId="5" xfId="0" applyNumberFormat="1" applyFont="1" applyFill="1" applyBorder="1" applyAlignment="1">
      <alignment horizontal="center" vertical="center"/>
    </xf>
    <xf numFmtId="44" fontId="4" fillId="18" borderId="6" xfId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4" fillId="0" borderId="0" xfId="0" applyFont="1" applyAlignment="1"/>
    <xf numFmtId="0" fontId="14" fillId="0" borderId="0" xfId="0" applyFont="1" applyFill="1" applyBorder="1" applyAlignment="1"/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5" borderId="10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/>
    </xf>
    <xf numFmtId="0" fontId="18" fillId="9" borderId="12" xfId="0" applyFont="1" applyFill="1" applyBorder="1" applyAlignment="1">
      <alignment horizontal="center" vertical="center"/>
    </xf>
    <xf numFmtId="0" fontId="18" fillId="18" borderId="12" xfId="0" applyFont="1" applyFill="1" applyBorder="1" applyAlignment="1">
      <alignment horizontal="center" vertical="center"/>
    </xf>
    <xf numFmtId="1" fontId="0" fillId="0" borderId="0" xfId="0" applyNumberFormat="1" applyFont="1" applyAlignment="1">
      <alignment horizontal="center" vertical="center"/>
    </xf>
    <xf numFmtId="1" fontId="19" fillId="3" borderId="0" xfId="0" applyNumberFormat="1" applyFont="1" applyFill="1" applyAlignment="1">
      <alignment horizontal="center" vertical="center"/>
    </xf>
    <xf numFmtId="1" fontId="4" fillId="21" borderId="0" xfId="0" applyNumberFormat="1" applyFont="1" applyFill="1" applyBorder="1" applyAlignment="1">
      <alignment horizontal="center" vertical="center"/>
    </xf>
    <xf numFmtId="1" fontId="4" fillId="22" borderId="0" xfId="0" applyNumberFormat="1" applyFont="1" applyFill="1" applyBorder="1" applyAlignment="1">
      <alignment horizontal="center" vertical="center"/>
    </xf>
    <xf numFmtId="1" fontId="4" fillId="23" borderId="0" xfId="0" applyNumberFormat="1" applyFont="1" applyFill="1" applyAlignment="1">
      <alignment horizontal="center" vertical="center"/>
    </xf>
    <xf numFmtId="1" fontId="4" fillId="20" borderId="0" xfId="0" applyNumberFormat="1" applyFont="1" applyFill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5" fillId="0" borderId="14" xfId="0" applyNumberFormat="1" applyFont="1" applyBorder="1" applyAlignment="1">
      <alignment horizontal="center" vertical="center"/>
    </xf>
    <xf numFmtId="0" fontId="15" fillId="0" borderId="6" xfId="0" applyNumberFormat="1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168" fontId="18" fillId="22" borderId="21" xfId="1" applyNumberFormat="1" applyFont="1" applyFill="1" applyBorder="1" applyAlignment="1">
      <alignment horizontal="center" vertical="center"/>
    </xf>
    <xf numFmtId="168" fontId="22" fillId="21" borderId="22" xfId="1" applyNumberFormat="1" applyFont="1" applyFill="1" applyBorder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0" fontId="23" fillId="3" borderId="15" xfId="0" applyFont="1" applyFill="1" applyBorder="1" applyAlignment="1">
      <alignment horizontal="center" vertical="center"/>
    </xf>
    <xf numFmtId="44" fontId="4" fillId="0" borderId="0" xfId="0" applyNumberFormat="1" applyFont="1" applyAlignment="1">
      <alignment horizontal="center" vertical="center"/>
    </xf>
    <xf numFmtId="1" fontId="4" fillId="0" borderId="0" xfId="0" applyNumberFormat="1" applyFont="1" applyFill="1" applyBorder="1" applyAlignment="1">
      <alignment horizontal="center" vertical="center"/>
    </xf>
    <xf numFmtId="44" fontId="4" fillId="0" borderId="0" xfId="1" quotePrefix="1" applyFont="1" applyFill="1" applyBorder="1" applyAlignment="1">
      <alignment horizontal="center" vertical="center"/>
    </xf>
    <xf numFmtId="44" fontId="4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" fontId="4" fillId="0" borderId="0" xfId="0" applyNumberFormat="1" applyFont="1" applyFill="1" applyAlignment="1">
      <alignment horizontal="center" vertical="center"/>
    </xf>
    <xf numFmtId="16" fontId="4" fillId="0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8" fillId="5" borderId="12" xfId="0" applyFont="1" applyFill="1" applyBorder="1" applyAlignment="1">
      <alignment horizontal="center" vertical="center"/>
    </xf>
    <xf numFmtId="0" fontId="3" fillId="21" borderId="12" xfId="0" applyFont="1" applyFill="1" applyBorder="1" applyAlignment="1">
      <alignment horizontal="center" vertical="center"/>
    </xf>
    <xf numFmtId="44" fontId="4" fillId="27" borderId="0" xfId="0" applyNumberFormat="1" applyFont="1" applyFill="1" applyBorder="1" applyAlignment="1">
      <alignment horizontal="center" vertical="center"/>
    </xf>
    <xf numFmtId="0" fontId="3" fillId="5" borderId="23" xfId="0" applyFont="1" applyFill="1" applyBorder="1" applyAlignment="1">
      <alignment horizontal="center" vertical="center"/>
    </xf>
    <xf numFmtId="44" fontId="4" fillId="27" borderId="0" xfId="1" applyFont="1" applyFill="1" applyBorder="1" applyAlignment="1">
      <alignment horizontal="center" vertical="center"/>
    </xf>
    <xf numFmtId="0" fontId="24" fillId="16" borderId="24" xfId="0" applyFont="1" applyFill="1" applyBorder="1" applyAlignment="1">
      <alignment horizontal="center" vertical="center"/>
    </xf>
    <xf numFmtId="0" fontId="3" fillId="9" borderId="24" xfId="0" applyFont="1" applyFill="1" applyBorder="1" applyAlignment="1">
      <alignment horizontal="center" vertical="center"/>
    </xf>
    <xf numFmtId="0" fontId="3" fillId="18" borderId="25" xfId="0" applyFont="1" applyFill="1" applyBorder="1" applyAlignment="1">
      <alignment horizontal="center" vertical="center"/>
    </xf>
    <xf numFmtId="0" fontId="3" fillId="26" borderId="25" xfId="0" applyFont="1" applyFill="1" applyBorder="1" applyAlignment="1">
      <alignment horizontal="center" vertical="center"/>
    </xf>
    <xf numFmtId="0" fontId="25" fillId="16" borderId="24" xfId="0" applyFont="1" applyFill="1" applyBorder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14" fontId="18" fillId="0" borderId="0" xfId="0" applyNumberFormat="1" applyFont="1" applyFill="1" applyAlignment="1">
      <alignment horizontal="center" vertical="center"/>
    </xf>
    <xf numFmtId="14" fontId="18" fillId="10" borderId="15" xfId="0" applyNumberFormat="1" applyFont="1" applyFill="1" applyBorder="1" applyAlignment="1">
      <alignment horizontal="center" vertical="center"/>
    </xf>
    <xf numFmtId="14" fontId="17" fillId="0" borderId="0" xfId="0" applyNumberFormat="1" applyFont="1" applyAlignment="1">
      <alignment horizontal="center" vertical="center"/>
    </xf>
    <xf numFmtId="14" fontId="15" fillId="0" borderId="5" xfId="0" applyNumberFormat="1" applyFont="1" applyBorder="1" applyAlignment="1">
      <alignment horizontal="center" vertical="center"/>
    </xf>
    <xf numFmtId="14" fontId="15" fillId="0" borderId="14" xfId="0" applyNumberFormat="1" applyFont="1" applyBorder="1" applyAlignment="1">
      <alignment horizontal="center" vertical="center"/>
    </xf>
    <xf numFmtId="44" fontId="17" fillId="0" borderId="0" xfId="1" applyFont="1" applyAlignment="1">
      <alignment horizontal="center" vertical="center"/>
    </xf>
    <xf numFmtId="14" fontId="26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0" xfId="1" applyNumberFormat="1" applyFont="1" applyAlignment="1">
      <alignment horizontal="center" vertical="center"/>
    </xf>
    <xf numFmtId="44" fontId="26" fillId="0" borderId="0" xfId="1" applyFont="1" applyAlignment="1">
      <alignment horizontal="center" vertical="center"/>
    </xf>
    <xf numFmtId="1" fontId="26" fillId="0" borderId="0" xfId="0" applyNumberFormat="1" applyFont="1" applyAlignment="1">
      <alignment horizontal="center" vertical="center"/>
    </xf>
    <xf numFmtId="1" fontId="26" fillId="0" borderId="0" xfId="1" applyNumberFormat="1" applyFont="1" applyAlignment="1">
      <alignment horizontal="center" vertical="center"/>
    </xf>
    <xf numFmtId="44" fontId="27" fillId="0" borderId="0" xfId="1" applyNumberFormat="1" applyFont="1" applyFill="1" applyAlignment="1">
      <alignment horizontal="center" vertical="center"/>
    </xf>
    <xf numFmtId="2" fontId="17" fillId="0" borderId="0" xfId="0" applyNumberFormat="1" applyFont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0" fontId="7" fillId="13" borderId="13" xfId="0" applyFont="1" applyFill="1" applyBorder="1" applyAlignment="1">
      <alignment horizontal="center" vertical="center" textRotation="90" wrapText="1"/>
    </xf>
    <xf numFmtId="0" fontId="7" fillId="13" borderId="0" xfId="0" applyFont="1" applyFill="1" applyBorder="1" applyAlignment="1">
      <alignment horizontal="center" vertical="center" textRotation="90" wrapText="1"/>
    </xf>
    <xf numFmtId="1" fontId="11" fillId="0" borderId="10" xfId="0" applyNumberFormat="1" applyFont="1" applyFill="1" applyBorder="1" applyAlignment="1">
      <alignment horizontal="center" vertical="center" textRotation="45"/>
    </xf>
    <xf numFmtId="1" fontId="11" fillId="0" borderId="9" xfId="0" applyNumberFormat="1" applyFont="1" applyFill="1" applyBorder="1" applyAlignment="1">
      <alignment horizontal="center" vertical="center" textRotation="45"/>
    </xf>
    <xf numFmtId="1" fontId="11" fillId="0" borderId="11" xfId="0" applyNumberFormat="1" applyFont="1" applyFill="1" applyBorder="1" applyAlignment="1">
      <alignment horizontal="center" vertical="center" textRotation="45"/>
    </xf>
    <xf numFmtId="44" fontId="3" fillId="0" borderId="10" xfId="0" applyNumberFormat="1" applyFont="1" applyFill="1" applyBorder="1" applyAlignment="1">
      <alignment horizontal="center" vertical="center"/>
    </xf>
    <xf numFmtId="44" fontId="3" fillId="0" borderId="9" xfId="0" applyNumberFormat="1" applyFont="1" applyFill="1" applyBorder="1" applyAlignment="1">
      <alignment horizontal="center" vertical="center"/>
    </xf>
    <xf numFmtId="44" fontId="3" fillId="0" borderId="11" xfId="0" applyNumberFormat="1" applyFont="1" applyFill="1" applyBorder="1" applyAlignment="1">
      <alignment horizontal="center" vertical="center"/>
    </xf>
    <xf numFmtId="165" fontId="9" fillId="11" borderId="16" xfId="0" applyNumberFormat="1" applyFont="1" applyFill="1" applyBorder="1" applyAlignment="1">
      <alignment horizontal="center" vertical="center"/>
    </xf>
    <xf numFmtId="165" fontId="9" fillId="11" borderId="14" xfId="0" applyNumberFormat="1" applyFont="1" applyFill="1" applyBorder="1" applyAlignment="1">
      <alignment horizontal="center" vertical="center"/>
    </xf>
    <xf numFmtId="165" fontId="9" fillId="11" borderId="17" xfId="0" applyNumberFormat="1" applyFont="1" applyFill="1" applyBorder="1" applyAlignment="1">
      <alignment horizontal="center" vertical="center"/>
    </xf>
    <xf numFmtId="165" fontId="9" fillId="11" borderId="0" xfId="0" applyNumberFormat="1" applyFont="1" applyFill="1" applyBorder="1" applyAlignment="1">
      <alignment horizontal="center" vertical="center"/>
    </xf>
    <xf numFmtId="0" fontId="7" fillId="9" borderId="9" xfId="0" applyFont="1" applyFill="1" applyBorder="1" applyAlignment="1">
      <alignment horizontal="center" vertical="center" textRotation="90"/>
    </xf>
    <xf numFmtId="0" fontId="7" fillId="9" borderId="11" xfId="0" applyFont="1" applyFill="1" applyBorder="1" applyAlignment="1">
      <alignment horizontal="center" vertical="center" textRotation="90"/>
    </xf>
    <xf numFmtId="0" fontId="7" fillId="6" borderId="9" xfId="0" applyFont="1" applyFill="1" applyBorder="1" applyAlignment="1">
      <alignment horizontal="center" vertical="center" textRotation="90"/>
    </xf>
    <xf numFmtId="0" fontId="7" fillId="7" borderId="9" xfId="0" applyFont="1" applyFill="1" applyBorder="1" applyAlignment="1">
      <alignment horizontal="center" vertical="center" textRotation="90"/>
    </xf>
    <xf numFmtId="0" fontId="7" fillId="16" borderId="9" xfId="0" applyFont="1" applyFill="1" applyBorder="1" applyAlignment="1">
      <alignment horizontal="center" vertical="center" textRotation="90"/>
    </xf>
    <xf numFmtId="1" fontId="3" fillId="12" borderId="7" xfId="0" applyNumberFormat="1" applyFont="1" applyFill="1" applyBorder="1" applyAlignment="1">
      <alignment horizontal="center" vertical="center"/>
    </xf>
    <xf numFmtId="1" fontId="3" fillId="12" borderId="8" xfId="0" applyNumberFormat="1" applyFont="1" applyFill="1" applyBorder="1" applyAlignment="1">
      <alignment horizontal="center" vertical="center"/>
    </xf>
    <xf numFmtId="44" fontId="3" fillId="12" borderId="7" xfId="1" applyFont="1" applyFill="1" applyBorder="1" applyAlignment="1">
      <alignment horizontal="center" vertical="center"/>
    </xf>
    <xf numFmtId="44" fontId="3" fillId="12" borderId="8" xfId="1" applyFont="1" applyFill="1" applyBorder="1" applyAlignment="1">
      <alignment horizontal="center" vertical="center"/>
    </xf>
    <xf numFmtId="1" fontId="10" fillId="0" borderId="10" xfId="0" applyNumberFormat="1" applyFont="1" applyBorder="1" applyAlignment="1">
      <alignment horizontal="center" vertical="center" textRotation="45"/>
    </xf>
    <xf numFmtId="1" fontId="10" fillId="0" borderId="9" xfId="0" applyNumberFormat="1" applyFont="1" applyBorder="1" applyAlignment="1">
      <alignment horizontal="center" vertical="center" textRotation="45"/>
    </xf>
    <xf numFmtId="1" fontId="10" fillId="0" borderId="11" xfId="0" applyNumberFormat="1" applyFont="1" applyBorder="1" applyAlignment="1">
      <alignment horizontal="center" vertical="center" textRotation="45"/>
    </xf>
    <xf numFmtId="44" fontId="12" fillId="0" borderId="10" xfId="1" applyFont="1" applyBorder="1" applyAlignment="1">
      <alignment horizontal="center" vertical="center" textRotation="90"/>
    </xf>
    <xf numFmtId="44" fontId="12" fillId="0" borderId="9" xfId="1" applyFont="1" applyBorder="1" applyAlignment="1">
      <alignment horizontal="center" vertical="center" textRotation="90"/>
    </xf>
    <xf numFmtId="44" fontId="12" fillId="0" borderId="11" xfId="1" applyFont="1" applyBorder="1" applyAlignment="1">
      <alignment horizontal="center" vertical="center" textRotation="90"/>
    </xf>
    <xf numFmtId="44" fontId="3" fillId="0" borderId="10" xfId="0" applyNumberFormat="1" applyFont="1" applyBorder="1" applyAlignment="1">
      <alignment horizontal="center" vertical="center"/>
    </xf>
    <xf numFmtId="44" fontId="3" fillId="0" borderId="9" xfId="0" applyNumberFormat="1" applyFont="1" applyBorder="1" applyAlignment="1">
      <alignment horizontal="center" vertical="center"/>
    </xf>
    <xf numFmtId="44" fontId="3" fillId="0" borderId="11" xfId="0" applyNumberFormat="1" applyFont="1" applyBorder="1" applyAlignment="1">
      <alignment horizontal="center" vertical="center"/>
    </xf>
    <xf numFmtId="44" fontId="3" fillId="10" borderId="10" xfId="0" applyNumberFormat="1" applyFont="1" applyFill="1" applyBorder="1" applyAlignment="1">
      <alignment horizontal="center" vertical="center"/>
    </xf>
    <xf numFmtId="44" fontId="3" fillId="10" borderId="9" xfId="0" applyNumberFormat="1" applyFont="1" applyFill="1" applyBorder="1" applyAlignment="1">
      <alignment horizontal="center" vertical="center"/>
    </xf>
    <xf numFmtId="44" fontId="3" fillId="10" borderId="11" xfId="0" applyNumberFormat="1" applyFont="1" applyFill="1" applyBorder="1" applyAlignment="1">
      <alignment horizontal="center" vertical="center"/>
    </xf>
    <xf numFmtId="164" fontId="9" fillId="11" borderId="7" xfId="0" applyNumberFormat="1" applyFont="1" applyFill="1" applyBorder="1" applyAlignment="1">
      <alignment horizontal="center" vertical="center"/>
    </xf>
    <xf numFmtId="164" fontId="9" fillId="11" borderId="9" xfId="0" applyNumberFormat="1" applyFont="1" applyFill="1" applyBorder="1" applyAlignment="1">
      <alignment horizontal="center" vertical="center"/>
    </xf>
    <xf numFmtId="0" fontId="9" fillId="11" borderId="16" xfId="0" applyFont="1" applyFill="1" applyBorder="1" applyAlignment="1">
      <alignment horizontal="center" vertical="center"/>
    </xf>
    <xf numFmtId="0" fontId="9" fillId="11" borderId="14" xfId="0" applyFont="1" applyFill="1" applyBorder="1" applyAlignment="1">
      <alignment horizontal="center" vertical="center"/>
    </xf>
    <xf numFmtId="0" fontId="9" fillId="11" borderId="18" xfId="0" applyFont="1" applyFill="1" applyBorder="1" applyAlignment="1">
      <alignment horizontal="center" vertical="center"/>
    </xf>
    <xf numFmtId="0" fontId="3" fillId="18" borderId="10" xfId="0" applyFont="1" applyFill="1" applyBorder="1" applyAlignment="1">
      <alignment horizontal="center" vertical="center"/>
    </xf>
    <xf numFmtId="0" fontId="3" fillId="18" borderId="11" xfId="0" applyFont="1" applyFill="1" applyBorder="1" applyAlignment="1">
      <alignment horizontal="center" vertical="center"/>
    </xf>
    <xf numFmtId="0" fontId="7" fillId="17" borderId="3" xfId="0" applyFont="1" applyFill="1" applyBorder="1" applyAlignment="1">
      <alignment horizontal="center" vertical="center" textRotation="90" wrapText="1"/>
    </xf>
    <xf numFmtId="0" fontId="7" fillId="17" borderId="4" xfId="0" applyFont="1" applyFill="1" applyBorder="1" applyAlignment="1">
      <alignment horizontal="center" vertical="center" textRotation="90" wrapText="1"/>
    </xf>
    <xf numFmtId="0" fontId="7" fillId="17" borderId="5" xfId="0" applyFont="1" applyFill="1" applyBorder="1" applyAlignment="1">
      <alignment horizontal="center" vertical="center" textRotation="90" wrapText="1"/>
    </xf>
    <xf numFmtId="0" fontId="7" fillId="17" borderId="6" xfId="0" applyFont="1" applyFill="1" applyBorder="1" applyAlignment="1">
      <alignment horizontal="center" vertical="center" textRotation="90" wrapText="1"/>
    </xf>
    <xf numFmtId="0" fontId="7" fillId="5" borderId="3" xfId="0" applyFont="1" applyFill="1" applyBorder="1" applyAlignment="1">
      <alignment horizontal="center" vertical="center" textRotation="90"/>
    </xf>
    <xf numFmtId="0" fontId="8" fillId="15" borderId="3" xfId="0" applyFont="1" applyFill="1" applyBorder="1" applyAlignment="1">
      <alignment horizontal="center" vertical="center" textRotation="90"/>
    </xf>
    <xf numFmtId="0" fontId="7" fillId="18" borderId="8" xfId="0" applyFont="1" applyFill="1" applyBorder="1" applyAlignment="1">
      <alignment horizontal="center" vertical="center" textRotation="90"/>
    </xf>
    <xf numFmtId="0" fontId="7" fillId="18" borderId="4" xfId="0" applyFont="1" applyFill="1" applyBorder="1" applyAlignment="1">
      <alignment horizontal="center" vertical="center" textRotation="90"/>
    </xf>
    <xf numFmtId="1" fontId="11" fillId="0" borderId="10" xfId="0" applyNumberFormat="1" applyFont="1" applyBorder="1" applyAlignment="1">
      <alignment horizontal="center" vertical="center" textRotation="45"/>
    </xf>
    <xf numFmtId="1" fontId="11" fillId="0" borderId="9" xfId="0" applyNumberFormat="1" applyFont="1" applyBorder="1" applyAlignment="1">
      <alignment horizontal="center" vertical="center" textRotation="45"/>
    </xf>
    <xf numFmtId="1" fontId="11" fillId="0" borderId="11" xfId="0" applyNumberFormat="1" applyFont="1" applyBorder="1" applyAlignment="1">
      <alignment horizontal="center" vertical="center" textRotation="45"/>
    </xf>
    <xf numFmtId="1" fontId="11" fillId="10" borderId="10" xfId="0" applyNumberFormat="1" applyFont="1" applyFill="1" applyBorder="1" applyAlignment="1">
      <alignment horizontal="center" vertical="center" textRotation="45"/>
    </xf>
    <xf numFmtId="1" fontId="11" fillId="10" borderId="9" xfId="0" applyNumberFormat="1" applyFont="1" applyFill="1" applyBorder="1" applyAlignment="1">
      <alignment horizontal="center" vertical="center" textRotation="45"/>
    </xf>
    <xf numFmtId="1" fontId="11" fillId="10" borderId="11" xfId="0" applyNumberFormat="1" applyFont="1" applyFill="1" applyBorder="1" applyAlignment="1">
      <alignment horizontal="center" vertical="center" textRotation="45"/>
    </xf>
    <xf numFmtId="0" fontId="18" fillId="0" borderId="15" xfId="0" applyFont="1" applyFill="1" applyBorder="1" applyAlignment="1">
      <alignment horizontal="center" vertical="center"/>
    </xf>
    <xf numFmtId="0" fontId="18" fillId="0" borderId="21" xfId="0" applyFont="1" applyFill="1" applyBorder="1" applyAlignment="1">
      <alignment horizontal="center" vertical="center"/>
    </xf>
    <xf numFmtId="0" fontId="18" fillId="0" borderId="22" xfId="0" applyFont="1" applyFill="1" applyBorder="1" applyAlignment="1">
      <alignment horizontal="center" vertical="center"/>
    </xf>
    <xf numFmtId="0" fontId="15" fillId="0" borderId="7" xfId="0" applyNumberFormat="1" applyFont="1" applyBorder="1" applyAlignment="1">
      <alignment horizontal="center" vertical="center"/>
    </xf>
    <xf numFmtId="0" fontId="15" fillId="0" borderId="13" xfId="0" applyNumberFormat="1" applyFont="1" applyBorder="1" applyAlignment="1">
      <alignment horizontal="center" vertical="center"/>
    </xf>
    <xf numFmtId="0" fontId="15" fillId="0" borderId="8" xfId="0" applyNumberFormat="1" applyFont="1" applyBorder="1" applyAlignment="1">
      <alignment horizontal="center" vertical="center"/>
    </xf>
    <xf numFmtId="0" fontId="3" fillId="22" borderId="10" xfId="0" applyFont="1" applyFill="1" applyBorder="1" applyAlignment="1">
      <alignment horizontal="center" vertical="center" textRotation="90"/>
    </xf>
    <xf numFmtId="0" fontId="3" fillId="22" borderId="9" xfId="0" applyFont="1" applyFill="1" applyBorder="1" applyAlignment="1">
      <alignment horizontal="center" vertical="center" textRotation="90"/>
    </xf>
    <xf numFmtId="0" fontId="3" fillId="22" borderId="11" xfId="0" applyFont="1" applyFill="1" applyBorder="1" applyAlignment="1">
      <alignment horizontal="center" vertical="center" textRotation="90"/>
    </xf>
    <xf numFmtId="0" fontId="21" fillId="3" borderId="0" xfId="0" applyFont="1" applyFill="1" applyAlignment="1">
      <alignment horizontal="center" vertical="center"/>
    </xf>
    <xf numFmtId="44" fontId="12" fillId="12" borderId="7" xfId="0" applyNumberFormat="1" applyFont="1" applyFill="1" applyBorder="1" applyAlignment="1">
      <alignment horizontal="center" vertical="center"/>
    </xf>
    <xf numFmtId="44" fontId="12" fillId="12" borderId="8" xfId="0" applyNumberFormat="1" applyFont="1" applyFill="1" applyBorder="1" applyAlignment="1">
      <alignment horizontal="center" vertical="center"/>
    </xf>
    <xf numFmtId="44" fontId="12" fillId="12" borderId="3" xfId="0" applyNumberFormat="1" applyFont="1" applyFill="1" applyBorder="1" applyAlignment="1">
      <alignment horizontal="center" vertical="center"/>
    </xf>
    <xf numFmtId="44" fontId="12" fillId="12" borderId="4" xfId="0" applyNumberFormat="1" applyFont="1" applyFill="1" applyBorder="1" applyAlignment="1">
      <alignment horizontal="center" vertical="center"/>
    </xf>
    <xf numFmtId="44" fontId="12" fillId="12" borderId="5" xfId="0" applyNumberFormat="1" applyFont="1" applyFill="1" applyBorder="1" applyAlignment="1">
      <alignment horizontal="center" vertical="center"/>
    </xf>
    <xf numFmtId="44" fontId="12" fillId="12" borderId="6" xfId="0" applyNumberFormat="1" applyFont="1" applyFill="1" applyBorder="1" applyAlignment="1">
      <alignment horizontal="center" vertical="center"/>
    </xf>
    <xf numFmtId="44" fontId="4" fillId="24" borderId="0" xfId="0" applyNumberFormat="1" applyFont="1" applyFill="1" applyAlignment="1">
      <alignment horizontal="center" vertical="center"/>
    </xf>
    <xf numFmtId="44" fontId="4" fillId="25" borderId="0" xfId="0" applyNumberFormat="1" applyFont="1" applyFill="1" applyAlignment="1">
      <alignment horizontal="center" vertical="center"/>
    </xf>
    <xf numFmtId="0" fontId="4" fillId="25" borderId="0" xfId="0" applyFont="1" applyFill="1" applyAlignment="1">
      <alignment horizontal="center" vertical="center"/>
    </xf>
    <xf numFmtId="44" fontId="3" fillId="12" borderId="0" xfId="0" applyNumberFormat="1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44" fontId="3" fillId="13" borderId="0" xfId="0" applyNumberFormat="1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21" borderId="10" xfId="0" applyFont="1" applyFill="1" applyBorder="1" applyAlignment="1">
      <alignment horizontal="center" vertical="center" textRotation="90"/>
    </xf>
    <xf numFmtId="0" fontId="3" fillId="21" borderId="9" xfId="0" applyFont="1" applyFill="1" applyBorder="1" applyAlignment="1">
      <alignment horizontal="center" vertical="center" textRotation="90"/>
    </xf>
    <xf numFmtId="0" fontId="3" fillId="21" borderId="11" xfId="0" applyFont="1" applyFill="1" applyBorder="1" applyAlignment="1">
      <alignment horizontal="center" vertical="center" textRotation="90"/>
    </xf>
  </cellXfs>
  <cellStyles count="2">
    <cellStyle name="Moeda" xfId="1" builtinId="4"/>
    <cellStyle name="Normal" xfId="0" builtinId="0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4B4B"/>
      <color rgb="FFFFFF99"/>
      <color rgb="FF683104"/>
      <color rgb="FFD697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3</xdr:row>
      <xdr:rowOff>28575</xdr:rowOff>
    </xdr:from>
    <xdr:to>
      <xdr:col>4</xdr:col>
      <xdr:colOff>38101</xdr:colOff>
      <xdr:row>6</xdr:row>
      <xdr:rowOff>57151</xdr:rowOff>
    </xdr:to>
    <xdr:sp macro="[0]!Form_show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8E4342C-F88E-4FD0-91EB-989D7E385036}"/>
            </a:ext>
          </a:extLst>
        </xdr:cNvPr>
        <xdr:cNvSpPr/>
      </xdr:nvSpPr>
      <xdr:spPr>
        <a:xfrm>
          <a:off x="219075" y="714375"/>
          <a:ext cx="2905126" cy="71437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Comic Sans MS" panose="030F0702030302020204" pitchFamily="66" charset="0"/>
            </a:rPr>
            <a:t>ADD</a:t>
          </a:r>
          <a:r>
            <a:rPr lang="pt-BR" sz="1600" b="1" baseline="0">
              <a:latin typeface="Comic Sans MS" panose="030F0702030302020204" pitchFamily="66" charset="0"/>
            </a:rPr>
            <a:t> VENDA</a:t>
          </a:r>
          <a:endParaRPr lang="pt-BR" sz="1600" b="1">
            <a:latin typeface="Comic Sans MS" panose="030F0702030302020204" pitchFamily="66" charset="0"/>
          </a:endParaRPr>
        </a:p>
      </xdr:txBody>
    </xdr:sp>
    <xdr:clientData/>
  </xdr:twoCellAnchor>
  <xdr:oneCellAnchor>
    <xdr:from>
      <xdr:col>9</xdr:col>
      <xdr:colOff>190500</xdr:colOff>
      <xdr:row>5</xdr:row>
      <xdr:rowOff>47625</xdr:rowOff>
    </xdr:from>
    <xdr:ext cx="184731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B758952A-12F5-425F-8762-C7FD222846F2}"/>
            </a:ext>
          </a:extLst>
        </xdr:cNvPr>
        <xdr:cNvSpPr txBox="1"/>
      </xdr:nvSpPr>
      <xdr:spPr>
        <a:xfrm>
          <a:off x="7143750" y="1190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118760-0649-4B2F-AAE7-06DA2857E7BB}" name="tb_Clientes" displayName="tb_Clientes" ref="A1:E6" totalsRowShown="0" headerRowDxfId="23">
  <autoFilter ref="A1:E6" xr:uid="{8ADF1008-4CF6-4DA9-8FA6-999A3D04E707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F6005CE5-0CED-46BF-B679-BD4F8345196D}" name="Nome" dataDxfId="22"/>
    <tableColumn id="5" xr3:uid="{84BAAEBF-1E34-4458-B3C5-9E165FCC7345}" name="Numero" dataDxfId="21"/>
    <tableColumn id="2" xr3:uid="{F58DC7E1-AD86-4B94-8B3D-FFB4EBC1369F}" name="Data Cadastro " dataDxfId="20"/>
    <tableColumn id="3" xr3:uid="{368AEBCF-DFE9-4ADF-B64C-A0129261B0FE}" name="Pedidos" dataDxfId="19">
      <calculatedColumnFormula>COUNTIF(Vendas!B:B,A2)</calculatedColumnFormula>
    </tableColumn>
    <tableColumn id="4" xr3:uid="{21ADE272-27A3-4B9A-82C4-942377AB7FBB}" name="Valor " dataDxfId="18" dataCellStyle="Moeda">
      <calculatedColumnFormula>SUMIF(Vendas!B:B,Clientes!A2,Vendas!O:O)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F9787E-5D75-418D-8759-0525A5C6BDD3}" name="Tabela2" displayName="Tabela2" ref="A1:O14" headerRowDxfId="17" dataDxfId="0" totalsRowDxfId="16">
  <autoFilter ref="A1:O14" xr:uid="{2B8EA8D4-7852-4748-AFB9-EBB13671190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4BCE37A1-297E-45B0-9C4D-7266666B9C62}" name="DATA" totalsRowLabel="Total" dataDxfId="15"/>
    <tableColumn id="2" xr3:uid="{FA7BC96F-7206-4CB4-AC13-4F959B9B1B28}" name="Cliente" dataDxfId="14"/>
    <tableColumn id="3" xr3:uid="{CB7F4655-62DA-4551-93EE-987FCC8666AD}" name="D. LEI" dataDxfId="13"/>
    <tableColumn id="4" xr3:uid="{ECB07282-EB78-4A6C-9E47-21462424137F}" name="GANA" dataDxfId="12"/>
    <tableColumn id="5" xr3:uid="{1B8D163C-3829-4D39-9DB5-97394B41FBB7}" name="BEIJ" dataDxfId="11"/>
    <tableColumn id="6" xr3:uid="{81815A91-0E4F-4B2E-BFDC-39E6458E201C}" name="MARA" dataDxfId="10"/>
    <tableColumn id="16" xr3:uid="{4B69BE05-B423-4538-8C7B-18CA122445B7}" name="Total M" dataDxfId="9">
      <calculatedColumnFormula>SUM(C2:F2)</calculatedColumnFormula>
    </tableColumn>
    <tableColumn id="8" xr3:uid="{FC03AEB5-9ACF-4B01-966E-C49E16CD5D26}" name="Uni M" dataDxfId="8" dataCellStyle="Moeda"/>
    <tableColumn id="9" xr3:uid="{E2DE79DF-EE42-4B74-8A2D-734795147A20}" name="D. LEI2" dataDxfId="7"/>
    <tableColumn id="10" xr3:uid="{057DD662-E5DD-4C63-8C1D-16D364C06EDA}" name="GANA3" dataDxfId="6" dataCellStyle="Moeda"/>
    <tableColumn id="11" xr3:uid="{F8061872-F1E9-468E-9A8D-E6A91871EA31}" name="BEIJ4" dataDxfId="5"/>
    <tableColumn id="12" xr3:uid="{B8A2C96B-628A-4B3C-A24D-9142E74F0BA9}" name="MARA5" dataDxfId="4"/>
    <tableColumn id="13" xr3:uid="{63373703-7D14-4833-913E-DDB30ACC43FC}" name="Total G" dataDxfId="3">
      <calculatedColumnFormula>SUM(I2:L2)</calculatedColumnFormula>
    </tableColumn>
    <tableColumn id="14" xr3:uid="{6E01DD3B-F3D6-4929-BB9C-DF267680CEBC}" name="Uni G" dataDxfId="2" dataCellStyle="Moeda"/>
    <tableColumn id="15" xr3:uid="{65B2B5BD-0803-4304-B81F-313A04EA83B9}" name="Total Venda" totalsRowFunction="sum" dataDxfId="1" dataCellStyle="Moeda">
      <calculatedColumnFormula>(N2*M2)+(H2*G2)</calculatedColumnFormula>
    </tableColumn>
  </tableColumns>
  <tableStyleInfo name="TableStyleMedium16" showFirstColumn="0" showLastColumn="1" showRowStripes="0" showColumnStripes="1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98D98-3B65-4320-905C-2D3D8A231C88}">
  <sheetPr codeName="Planilha1"/>
  <dimension ref="A1:T41"/>
  <sheetViews>
    <sheetView topLeftCell="A9" zoomScale="60" zoomScaleNormal="60" workbookViewId="0">
      <selection activeCell="I33" sqref="I33"/>
    </sheetView>
  </sheetViews>
  <sheetFormatPr defaultRowHeight="20.25" x14ac:dyDescent="0.2"/>
  <cols>
    <col min="1" max="1" width="4.75" style="5" bestFit="1" customWidth="1"/>
    <col min="2" max="2" width="6.625" style="5" bestFit="1" customWidth="1"/>
    <col min="3" max="3" width="29.25" style="15" bestFit="1" customWidth="1"/>
    <col min="4" max="4" width="6.625" style="7" customWidth="1"/>
    <col min="5" max="5" width="12.375" style="7" customWidth="1"/>
    <col min="6" max="6" width="18.625" style="18" customWidth="1"/>
    <col min="7" max="7" width="13.875" style="7" customWidth="1"/>
    <col min="8" max="8" width="18.625" style="18" customWidth="1"/>
    <col min="9" max="9" width="15.5" style="8" bestFit="1" customWidth="1"/>
    <col min="10" max="10" width="13.875" style="8" bestFit="1" customWidth="1"/>
    <col min="11" max="11" width="14.625" style="18" bestFit="1" customWidth="1"/>
    <col min="12" max="12" width="15.375" style="18" bestFit="1" customWidth="1"/>
    <col min="13" max="13" width="14.625" style="18" bestFit="1" customWidth="1"/>
    <col min="14" max="14" width="23.125" style="7" bestFit="1" customWidth="1"/>
    <col min="15" max="15" width="13.875" style="9" bestFit="1" customWidth="1"/>
    <col min="16" max="16" width="24.75" style="9" customWidth="1"/>
    <col min="17" max="17" width="16.125" style="9" customWidth="1"/>
    <col min="18" max="16384" width="9" style="9"/>
  </cols>
  <sheetData>
    <row r="1" spans="1:20" s="101" customFormat="1" ht="27" thickBot="1" x14ac:dyDescent="0.25">
      <c r="A1" s="97"/>
      <c r="B1" s="98"/>
      <c r="C1" s="228" t="s">
        <v>1</v>
      </c>
      <c r="D1" s="230" t="s">
        <v>54</v>
      </c>
      <c r="E1" s="231"/>
      <c r="F1" s="231"/>
      <c r="G1" s="231"/>
      <c r="H1" s="232"/>
      <c r="I1" s="203" t="s">
        <v>59</v>
      </c>
      <c r="J1" s="204"/>
      <c r="K1" s="204"/>
      <c r="L1" s="204"/>
      <c r="M1" s="205">
        <v>1</v>
      </c>
      <c r="N1" s="206"/>
      <c r="O1" s="206"/>
      <c r="P1" s="99" t="s">
        <v>73</v>
      </c>
      <c r="Q1" s="100"/>
      <c r="R1" s="100"/>
      <c r="S1" s="100"/>
      <c r="T1" s="100"/>
    </row>
    <row r="2" spans="1:20" ht="21" thickBot="1" x14ac:dyDescent="0.25">
      <c r="A2" s="20"/>
      <c r="B2" s="23"/>
      <c r="C2" s="229"/>
      <c r="D2" s="32" t="s">
        <v>32</v>
      </c>
      <c r="E2" s="38" t="s">
        <v>55</v>
      </c>
      <c r="F2" s="43" t="s">
        <v>58</v>
      </c>
      <c r="G2" s="42" t="s">
        <v>57</v>
      </c>
      <c r="H2" s="47" t="s">
        <v>56</v>
      </c>
      <c r="I2" s="212" t="s">
        <v>64</v>
      </c>
      <c r="J2" s="213"/>
      <c r="K2" s="214" t="s">
        <v>65</v>
      </c>
      <c r="L2" s="215"/>
      <c r="M2" s="79" t="s">
        <v>33</v>
      </c>
      <c r="N2" s="80" t="s">
        <v>53</v>
      </c>
      <c r="O2" s="77" t="s">
        <v>66</v>
      </c>
      <c r="P2" s="10"/>
      <c r="Q2" s="10"/>
      <c r="R2" s="10"/>
    </row>
    <row r="3" spans="1:20" ht="20.25" customHeight="1" x14ac:dyDescent="0.2">
      <c r="A3" s="239" t="s">
        <v>60</v>
      </c>
      <c r="B3" s="209" t="s">
        <v>38</v>
      </c>
      <c r="C3" s="26" t="s">
        <v>0</v>
      </c>
      <c r="D3" s="33" t="s">
        <v>3</v>
      </c>
      <c r="E3" s="114">
        <f>I3/$F$16</f>
        <v>3.5714285714285716</v>
      </c>
      <c r="F3" s="73">
        <f>K3/$F$16</f>
        <v>1.0714285714285714E-2</v>
      </c>
      <c r="G3" s="114">
        <f>I3/$H$16</f>
        <v>10.869565217391305</v>
      </c>
      <c r="H3" s="73">
        <f>K3/$H$16</f>
        <v>3.2608695652173912E-2</v>
      </c>
      <c r="I3" s="51">
        <v>250</v>
      </c>
      <c r="J3" s="216">
        <f>SUM(I3:I14)</f>
        <v>885</v>
      </c>
      <c r="K3" s="63">
        <f>N3/1000*I3</f>
        <v>0.75</v>
      </c>
      <c r="L3" s="219">
        <f>SUM(K3:K14)</f>
        <v>5.9704999999999995</v>
      </c>
      <c r="M3" s="64">
        <f>N3/10</f>
        <v>0.3</v>
      </c>
      <c r="N3" s="44">
        <v>3</v>
      </c>
      <c r="O3" s="219">
        <f>L3/J3*1000</f>
        <v>6.7463276836158181</v>
      </c>
      <c r="P3" s="7"/>
      <c r="Q3" s="7"/>
      <c r="R3" s="7"/>
    </row>
    <row r="4" spans="1:20" x14ac:dyDescent="0.2">
      <c r="A4" s="239"/>
      <c r="B4" s="209"/>
      <c r="C4" s="26" t="s">
        <v>4</v>
      </c>
      <c r="D4" s="33" t="s">
        <v>3</v>
      </c>
      <c r="E4" s="114">
        <f t="shared" ref="E4:E14" si="0">I4/$F$16</f>
        <v>1.0714285714285714</v>
      </c>
      <c r="F4" s="73">
        <f t="shared" ref="F4:F14" si="1">K4/$F$16</f>
        <v>8.5714285714285719E-3</v>
      </c>
      <c r="G4" s="114">
        <f t="shared" ref="G4:G14" si="2">I4/$H$16</f>
        <v>3.2608695652173911</v>
      </c>
      <c r="H4" s="73">
        <f t="shared" ref="H4:H14" si="3">K4/$H$16</f>
        <v>2.6086956521739129E-2</v>
      </c>
      <c r="I4" s="52">
        <v>75</v>
      </c>
      <c r="J4" s="217"/>
      <c r="K4" s="63">
        <f t="shared" ref="K4:K14" si="4">N4/1000*I4</f>
        <v>0.6</v>
      </c>
      <c r="L4" s="220"/>
      <c r="M4" s="64">
        <f t="shared" ref="M4:M14" si="5">N4/10</f>
        <v>0.8</v>
      </c>
      <c r="N4" s="44">
        <v>8</v>
      </c>
      <c r="O4" s="220"/>
      <c r="P4" s="7"/>
      <c r="Q4" s="7"/>
      <c r="R4" s="7"/>
      <c r="S4" s="7"/>
      <c r="T4" s="7"/>
    </row>
    <row r="5" spans="1:20" x14ac:dyDescent="0.2">
      <c r="A5" s="239"/>
      <c r="B5" s="209"/>
      <c r="C5" s="26" t="s">
        <v>6</v>
      </c>
      <c r="D5" s="33" t="s">
        <v>3</v>
      </c>
      <c r="E5" s="114">
        <f t="shared" si="0"/>
        <v>0.8571428571428571</v>
      </c>
      <c r="F5" s="73">
        <f t="shared" si="1"/>
        <v>1.2E-2</v>
      </c>
      <c r="G5" s="114">
        <f t="shared" si="2"/>
        <v>2.6086956521739131</v>
      </c>
      <c r="H5" s="73">
        <f t="shared" si="3"/>
        <v>3.6521739130434779E-2</v>
      </c>
      <c r="I5" s="52">
        <v>60</v>
      </c>
      <c r="J5" s="217"/>
      <c r="K5" s="63">
        <f t="shared" si="4"/>
        <v>0.84</v>
      </c>
      <c r="L5" s="220"/>
      <c r="M5" s="64">
        <f t="shared" si="5"/>
        <v>1.4</v>
      </c>
      <c r="N5" s="44">
        <v>14</v>
      </c>
      <c r="O5" s="220"/>
      <c r="P5" s="7"/>
      <c r="Q5" s="7"/>
      <c r="R5" s="7"/>
      <c r="S5" s="7"/>
      <c r="T5" s="7"/>
    </row>
    <row r="6" spans="1:20" x14ac:dyDescent="0.2">
      <c r="A6" s="239"/>
      <c r="B6" s="209"/>
      <c r="C6" s="27" t="s">
        <v>7</v>
      </c>
      <c r="D6" s="34" t="s">
        <v>3</v>
      </c>
      <c r="E6" s="116">
        <f t="shared" si="0"/>
        <v>7.1428571428571425E-2</v>
      </c>
      <c r="F6" s="118">
        <f t="shared" si="1"/>
        <v>1.7857142857142857E-3</v>
      </c>
      <c r="G6" s="116">
        <f t="shared" si="2"/>
        <v>0.21739130434782608</v>
      </c>
      <c r="H6" s="118">
        <f t="shared" si="3"/>
        <v>5.434782608695652E-3</v>
      </c>
      <c r="I6" s="54">
        <v>5</v>
      </c>
      <c r="J6" s="217"/>
      <c r="K6" s="65">
        <f t="shared" si="4"/>
        <v>0.125</v>
      </c>
      <c r="L6" s="220"/>
      <c r="M6" s="68">
        <f t="shared" si="5"/>
        <v>2.5</v>
      </c>
      <c r="N6" s="45">
        <v>25</v>
      </c>
      <c r="O6" s="220"/>
      <c r="P6" s="7"/>
      <c r="Q6" s="7"/>
      <c r="R6" s="7"/>
      <c r="S6" s="7"/>
      <c r="T6" s="7"/>
    </row>
    <row r="7" spans="1:20" x14ac:dyDescent="0.2">
      <c r="A7" s="239"/>
      <c r="B7" s="209"/>
      <c r="C7" s="27" t="s">
        <v>9</v>
      </c>
      <c r="D7" s="34" t="s">
        <v>3</v>
      </c>
      <c r="E7" s="116">
        <f t="shared" si="0"/>
        <v>7.1428571428571425E-2</v>
      </c>
      <c r="F7" s="118">
        <f t="shared" si="1"/>
        <v>4.2857142857142855E-4</v>
      </c>
      <c r="G7" s="116">
        <f t="shared" si="2"/>
        <v>0.21739130434782608</v>
      </c>
      <c r="H7" s="118">
        <f t="shared" si="3"/>
        <v>1.3043478260869564E-3</v>
      </c>
      <c r="I7" s="54">
        <v>5</v>
      </c>
      <c r="J7" s="217"/>
      <c r="K7" s="65">
        <f t="shared" si="4"/>
        <v>0.03</v>
      </c>
      <c r="L7" s="220"/>
      <c r="M7" s="68">
        <f t="shared" si="5"/>
        <v>0.6</v>
      </c>
      <c r="N7" s="45">
        <v>6</v>
      </c>
      <c r="O7" s="220"/>
      <c r="P7" s="7"/>
      <c r="Q7" s="7"/>
      <c r="R7" s="7"/>
      <c r="S7" s="7"/>
      <c r="T7" s="7"/>
    </row>
    <row r="8" spans="1:20" x14ac:dyDescent="0.2">
      <c r="A8" s="239"/>
      <c r="B8" s="209"/>
      <c r="C8" s="27" t="s">
        <v>11</v>
      </c>
      <c r="D8" s="34" t="s">
        <v>3</v>
      </c>
      <c r="E8" s="116">
        <f t="shared" si="0"/>
        <v>7.1428571428571425E-2</v>
      </c>
      <c r="F8" s="118">
        <f t="shared" si="1"/>
        <v>1.6785714285714286E-3</v>
      </c>
      <c r="G8" s="116">
        <f t="shared" si="2"/>
        <v>0.21739130434782608</v>
      </c>
      <c r="H8" s="118">
        <f t="shared" si="3"/>
        <v>5.1086956521739129E-3</v>
      </c>
      <c r="I8" s="54">
        <v>5</v>
      </c>
      <c r="J8" s="217"/>
      <c r="K8" s="65">
        <f t="shared" si="4"/>
        <v>0.11749999999999999</v>
      </c>
      <c r="L8" s="220"/>
      <c r="M8" s="68">
        <f t="shared" si="5"/>
        <v>2.35</v>
      </c>
      <c r="N8" s="45">
        <v>23.5</v>
      </c>
      <c r="O8" s="220"/>
      <c r="P8" s="7"/>
      <c r="Q8" s="7"/>
      <c r="R8" s="7"/>
      <c r="S8" s="7"/>
      <c r="T8" s="7"/>
    </row>
    <row r="9" spans="1:20" x14ac:dyDescent="0.2">
      <c r="A9" s="239"/>
      <c r="B9" s="209"/>
      <c r="C9" s="27" t="s">
        <v>12</v>
      </c>
      <c r="D9" s="34" t="s">
        <v>3</v>
      </c>
      <c r="E9" s="116">
        <f t="shared" si="0"/>
        <v>7.1428571428571425E-2</v>
      </c>
      <c r="F9" s="118">
        <f t="shared" si="1"/>
        <v>1.2857142857142856E-3</v>
      </c>
      <c r="G9" s="116">
        <f t="shared" si="2"/>
        <v>0.21739130434782608</v>
      </c>
      <c r="H9" s="118">
        <f t="shared" si="3"/>
        <v>3.913043478260869E-3</v>
      </c>
      <c r="I9" s="54">
        <v>5</v>
      </c>
      <c r="J9" s="217"/>
      <c r="K9" s="65">
        <f t="shared" si="4"/>
        <v>0.09</v>
      </c>
      <c r="L9" s="220"/>
      <c r="M9" s="68">
        <f t="shared" si="5"/>
        <v>1.8</v>
      </c>
      <c r="N9" s="45">
        <v>18</v>
      </c>
      <c r="O9" s="220"/>
      <c r="P9" s="7"/>
      <c r="Q9" s="7"/>
      <c r="R9" s="7"/>
      <c r="S9" s="7"/>
      <c r="T9" s="7"/>
    </row>
    <row r="10" spans="1:20" ht="20.25" customHeight="1" x14ac:dyDescent="0.2">
      <c r="A10" s="239"/>
      <c r="B10" s="210" t="s">
        <v>35</v>
      </c>
      <c r="C10" s="27" t="s">
        <v>17</v>
      </c>
      <c r="D10" s="34" t="s">
        <v>32</v>
      </c>
      <c r="E10" s="116">
        <f t="shared" si="0"/>
        <v>1.4285714285714286</v>
      </c>
      <c r="F10" s="118">
        <f t="shared" si="1"/>
        <v>9.5142857142857147E-3</v>
      </c>
      <c r="G10" s="116">
        <f t="shared" si="2"/>
        <v>4.3478260869565215</v>
      </c>
      <c r="H10" s="118">
        <f t="shared" si="3"/>
        <v>2.8956521739130436E-2</v>
      </c>
      <c r="I10" s="54">
        <v>100</v>
      </c>
      <c r="J10" s="217"/>
      <c r="K10" s="65">
        <f t="shared" si="4"/>
        <v>0.66600000000000004</v>
      </c>
      <c r="L10" s="220"/>
      <c r="M10" s="68">
        <f t="shared" si="5"/>
        <v>0.66600000000000004</v>
      </c>
      <c r="N10" s="45">
        <v>6.66</v>
      </c>
      <c r="O10" s="220"/>
      <c r="P10" s="7"/>
      <c r="Q10" s="7"/>
      <c r="R10" s="7"/>
      <c r="S10" s="7"/>
      <c r="T10" s="7"/>
    </row>
    <row r="11" spans="1:20" x14ac:dyDescent="0.2">
      <c r="A11" s="239"/>
      <c r="B11" s="210"/>
      <c r="C11" s="26" t="s">
        <v>24</v>
      </c>
      <c r="D11" s="33" t="s">
        <v>3</v>
      </c>
      <c r="E11" s="114">
        <f t="shared" si="0"/>
        <v>0.2857142857142857</v>
      </c>
      <c r="F11" s="73">
        <f t="shared" si="1"/>
        <v>4.0000000000000001E-3</v>
      </c>
      <c r="G11" s="114">
        <f t="shared" si="2"/>
        <v>0.86956521739130432</v>
      </c>
      <c r="H11" s="73">
        <f t="shared" si="3"/>
        <v>1.2173913043478262E-2</v>
      </c>
      <c r="I11" s="51">
        <v>20</v>
      </c>
      <c r="J11" s="217"/>
      <c r="K11" s="63">
        <f t="shared" si="4"/>
        <v>0.28000000000000003</v>
      </c>
      <c r="L11" s="220"/>
      <c r="M11" s="64">
        <f t="shared" si="5"/>
        <v>1.4</v>
      </c>
      <c r="N11" s="44">
        <v>14</v>
      </c>
      <c r="O11" s="220"/>
      <c r="P11" s="7"/>
      <c r="Q11" s="7"/>
      <c r="R11" s="7"/>
      <c r="S11" s="7"/>
      <c r="T11" s="7"/>
    </row>
    <row r="12" spans="1:20" x14ac:dyDescent="0.2">
      <c r="A12" s="239"/>
      <c r="B12" s="210"/>
      <c r="C12" s="26" t="s">
        <v>22</v>
      </c>
      <c r="D12" s="33" t="s">
        <v>21</v>
      </c>
      <c r="E12" s="114">
        <f t="shared" si="0"/>
        <v>1.7142857142857142</v>
      </c>
      <c r="F12" s="73">
        <f t="shared" si="1"/>
        <v>2.571428571428571E-2</v>
      </c>
      <c r="G12" s="114">
        <f t="shared" si="2"/>
        <v>5.2173913043478262</v>
      </c>
      <c r="H12" s="73">
        <f t="shared" si="3"/>
        <v>7.8260869565217384E-2</v>
      </c>
      <c r="I12" s="52">
        <v>120</v>
      </c>
      <c r="J12" s="217"/>
      <c r="K12" s="63">
        <f t="shared" si="4"/>
        <v>1.7999999999999998</v>
      </c>
      <c r="L12" s="220"/>
      <c r="M12" s="64">
        <f t="shared" si="5"/>
        <v>1.5</v>
      </c>
      <c r="N12" s="44">
        <v>15</v>
      </c>
      <c r="O12" s="220"/>
      <c r="P12" s="12"/>
      <c r="Q12" s="7"/>
      <c r="R12" s="7"/>
      <c r="S12" s="7"/>
      <c r="T12" s="7"/>
    </row>
    <row r="13" spans="1:20" x14ac:dyDescent="0.2">
      <c r="A13" s="239"/>
      <c r="B13" s="210"/>
      <c r="C13" s="26" t="s">
        <v>19</v>
      </c>
      <c r="D13" s="33" t="s">
        <v>21</v>
      </c>
      <c r="E13" s="114">
        <f t="shared" si="0"/>
        <v>3.4285714285714284</v>
      </c>
      <c r="F13" s="73">
        <f t="shared" si="1"/>
        <v>9.6000000000000009E-3</v>
      </c>
      <c r="G13" s="114">
        <f t="shared" si="2"/>
        <v>10.434782608695652</v>
      </c>
      <c r="H13" s="73">
        <f t="shared" si="3"/>
        <v>2.9217391304347827E-2</v>
      </c>
      <c r="I13" s="52">
        <v>240</v>
      </c>
      <c r="J13" s="217"/>
      <c r="K13" s="63">
        <f t="shared" si="4"/>
        <v>0.67200000000000004</v>
      </c>
      <c r="L13" s="220"/>
      <c r="M13" s="64">
        <f t="shared" si="5"/>
        <v>0.27999999999999997</v>
      </c>
      <c r="N13" s="44">
        <v>2.8</v>
      </c>
      <c r="O13" s="220"/>
      <c r="P13" s="7"/>
      <c r="Q13" s="7"/>
      <c r="R13" s="7"/>
      <c r="S13" s="7"/>
      <c r="T13" s="7"/>
    </row>
    <row r="14" spans="1:20" ht="21" thickBot="1" x14ac:dyDescent="0.25">
      <c r="A14" s="239"/>
      <c r="B14" s="210"/>
      <c r="C14" s="26" t="s">
        <v>26</v>
      </c>
      <c r="D14" s="33" t="s">
        <v>21</v>
      </c>
      <c r="E14" s="114">
        <f t="shared" si="0"/>
        <v>0</v>
      </c>
      <c r="F14" s="73">
        <f t="shared" si="1"/>
        <v>0</v>
      </c>
      <c r="G14" s="114">
        <f t="shared" si="2"/>
        <v>0</v>
      </c>
      <c r="H14" s="73">
        <f t="shared" si="3"/>
        <v>0</v>
      </c>
      <c r="I14" s="52">
        <v>0</v>
      </c>
      <c r="J14" s="218"/>
      <c r="K14" s="63">
        <f t="shared" si="4"/>
        <v>0</v>
      </c>
      <c r="L14" s="221"/>
      <c r="M14" s="64">
        <f t="shared" si="5"/>
        <v>7</v>
      </c>
      <c r="N14" s="44">
        <v>70</v>
      </c>
      <c r="O14" s="221"/>
      <c r="P14" s="7"/>
      <c r="Q14" s="7"/>
      <c r="R14" s="7"/>
      <c r="S14" s="7"/>
      <c r="T14" s="7"/>
    </row>
    <row r="15" spans="1:20" ht="21" thickBot="1" x14ac:dyDescent="0.25">
      <c r="A15" s="20"/>
      <c r="B15" s="23"/>
      <c r="C15" s="103"/>
      <c r="D15" s="28"/>
      <c r="E15" s="115">
        <f>SUM(E3:E14)</f>
        <v>12.642857142857142</v>
      </c>
      <c r="F15" s="90">
        <f>O3/1000*E15</f>
        <v>8.5292857142857129E-2</v>
      </c>
      <c r="G15" s="117">
        <f>SUM(G3:G14)</f>
        <v>38.478260869565219</v>
      </c>
      <c r="H15" s="96">
        <f>O3/1000*G15</f>
        <v>0.25958695652173913</v>
      </c>
      <c r="I15" s="55"/>
      <c r="J15" s="56"/>
      <c r="K15" s="66"/>
      <c r="L15" s="71"/>
      <c r="M15" s="66"/>
      <c r="N15" s="46"/>
      <c r="O15" s="233" t="s">
        <v>66</v>
      </c>
      <c r="P15" s="7"/>
      <c r="Q15" s="7"/>
      <c r="R15" s="7"/>
      <c r="S15" s="7"/>
      <c r="T15" s="7"/>
    </row>
    <row r="16" spans="1:20" ht="21" thickBot="1" x14ac:dyDescent="0.25">
      <c r="A16" s="20"/>
      <c r="B16" s="23"/>
      <c r="C16" s="28" t="s">
        <v>39</v>
      </c>
      <c r="D16" s="28"/>
      <c r="E16" s="102" t="s">
        <v>74</v>
      </c>
      <c r="F16" s="104">
        <v>70</v>
      </c>
      <c r="G16" s="72" t="s">
        <v>74</v>
      </c>
      <c r="H16" s="105">
        <v>23</v>
      </c>
      <c r="I16" s="55"/>
      <c r="J16" s="56"/>
      <c r="K16" s="66"/>
      <c r="L16" s="71"/>
      <c r="M16" s="66"/>
      <c r="N16" s="46"/>
      <c r="O16" s="234"/>
      <c r="P16" s="7"/>
      <c r="Q16" s="7"/>
      <c r="R16" s="7"/>
      <c r="S16" s="7"/>
      <c r="T16" s="7"/>
    </row>
    <row r="17" spans="1:20" ht="43.5" customHeight="1" thickBot="1" x14ac:dyDescent="0.25">
      <c r="A17" s="240" t="s">
        <v>61</v>
      </c>
      <c r="B17" s="24" t="s">
        <v>40</v>
      </c>
      <c r="C17" s="29" t="s">
        <v>31</v>
      </c>
      <c r="D17" s="35" t="s">
        <v>3</v>
      </c>
      <c r="E17" s="57">
        <v>10</v>
      </c>
      <c r="F17" s="48">
        <f>N17/1000*E17</f>
        <v>0.18</v>
      </c>
      <c r="G17" s="40">
        <v>20</v>
      </c>
      <c r="H17" s="48">
        <f>N17/1000*G17</f>
        <v>0.36</v>
      </c>
      <c r="I17" s="57">
        <v>1000</v>
      </c>
      <c r="J17" s="86">
        <v>1000</v>
      </c>
      <c r="K17" s="67">
        <f>M17/100*I17</f>
        <v>18.000000000000004</v>
      </c>
      <c r="L17" s="95">
        <f>SUM(K17)</f>
        <v>18.000000000000004</v>
      </c>
      <c r="M17" s="67">
        <f>N17/10</f>
        <v>1.8</v>
      </c>
      <c r="N17" s="48">
        <v>18</v>
      </c>
      <c r="O17" s="78">
        <f>L17/J17*1000</f>
        <v>18.000000000000004</v>
      </c>
      <c r="P17" s="7"/>
      <c r="Q17" s="7"/>
      <c r="R17" s="7"/>
      <c r="S17" s="7"/>
      <c r="T17" s="7"/>
    </row>
    <row r="18" spans="1:20" ht="21" thickBot="1" x14ac:dyDescent="0.25">
      <c r="A18" s="240"/>
      <c r="B18" s="25" t="s">
        <v>62</v>
      </c>
      <c r="C18" s="27" t="s">
        <v>34</v>
      </c>
      <c r="D18" s="34" t="s">
        <v>3</v>
      </c>
      <c r="E18" s="58">
        <v>6</v>
      </c>
      <c r="F18" s="45">
        <f t="shared" ref="F18:F30" si="6">N18/1000*E18</f>
        <v>7.5000000000000011E-2</v>
      </c>
      <c r="G18" s="39">
        <f>3*E18</f>
        <v>18</v>
      </c>
      <c r="H18" s="45">
        <f t="shared" ref="H18:H30" si="7">N18/1000*G18</f>
        <v>0.22500000000000001</v>
      </c>
      <c r="I18" s="58">
        <v>800</v>
      </c>
      <c r="J18" s="85">
        <v>800</v>
      </c>
      <c r="K18" s="68">
        <f>N18/1000*J18</f>
        <v>10</v>
      </c>
      <c r="L18" s="70">
        <f>SUM(K18)</f>
        <v>10</v>
      </c>
      <c r="M18" s="68">
        <f>N18/10</f>
        <v>1.25</v>
      </c>
      <c r="N18" s="45">
        <v>12.5</v>
      </c>
      <c r="O18" s="89">
        <f>L18/J18*1000</f>
        <v>12.5</v>
      </c>
      <c r="P18" s="7"/>
      <c r="Q18" s="7"/>
      <c r="R18" s="7"/>
      <c r="S18" s="7"/>
      <c r="T18" s="7"/>
    </row>
    <row r="19" spans="1:20" x14ac:dyDescent="0.2">
      <c r="A19" s="240"/>
      <c r="B19" s="211" t="s">
        <v>41</v>
      </c>
      <c r="C19" s="30" t="s">
        <v>36</v>
      </c>
      <c r="D19" s="36" t="s">
        <v>3</v>
      </c>
      <c r="E19" s="82">
        <f>I19*0.01</f>
        <v>4</v>
      </c>
      <c r="F19" s="83">
        <f t="shared" si="6"/>
        <v>0.1</v>
      </c>
      <c r="G19" s="84">
        <f>3*E19</f>
        <v>12</v>
      </c>
      <c r="H19" s="83">
        <f t="shared" si="7"/>
        <v>0.30000000000000004</v>
      </c>
      <c r="I19" s="52">
        <v>400</v>
      </c>
      <c r="J19" s="243">
        <f>SUM(I19:I21)</f>
        <v>605</v>
      </c>
      <c r="K19" s="6">
        <f>N19/1000*I19</f>
        <v>10</v>
      </c>
      <c r="L19" s="222">
        <f>SUM(K19:K21)</f>
        <v>12.35</v>
      </c>
      <c r="M19" s="81">
        <f>N19/10</f>
        <v>2.5</v>
      </c>
      <c r="N19" s="49">
        <v>25</v>
      </c>
      <c r="O19" s="222">
        <f>L19/J19*1000</f>
        <v>20.413223140495866</v>
      </c>
      <c r="P19" s="76"/>
      <c r="Q19" s="75"/>
      <c r="R19" s="7"/>
      <c r="S19" s="7"/>
      <c r="T19" s="7"/>
    </row>
    <row r="20" spans="1:20" x14ac:dyDescent="0.2">
      <c r="A20" s="240"/>
      <c r="B20" s="211"/>
      <c r="C20" s="30" t="s">
        <v>44</v>
      </c>
      <c r="D20" s="36" t="s">
        <v>3</v>
      </c>
      <c r="E20" s="82">
        <f t="shared" ref="E20:E30" si="8">I20*0.01</f>
        <v>2</v>
      </c>
      <c r="F20" s="83">
        <f t="shared" si="6"/>
        <v>0.02</v>
      </c>
      <c r="G20" s="84">
        <f t="shared" ref="G20:G30" si="9">3*E20</f>
        <v>6</v>
      </c>
      <c r="H20" s="83">
        <f t="shared" si="7"/>
        <v>0.06</v>
      </c>
      <c r="I20" s="52">
        <v>200</v>
      </c>
      <c r="J20" s="244"/>
      <c r="K20" s="6">
        <f t="shared" ref="K20:K30" si="10">N20/1000*I20</f>
        <v>2</v>
      </c>
      <c r="L20" s="223"/>
      <c r="M20" s="81">
        <f t="shared" ref="M20:M30" si="11">N20/10</f>
        <v>1</v>
      </c>
      <c r="N20" s="49">
        <v>10</v>
      </c>
      <c r="O20" s="223"/>
      <c r="P20" s="76"/>
      <c r="Q20" s="75"/>
      <c r="R20" s="7"/>
      <c r="S20" s="7"/>
      <c r="T20" s="7"/>
    </row>
    <row r="21" spans="1:20" ht="21" thickBot="1" x14ac:dyDescent="0.25">
      <c r="A21" s="240"/>
      <c r="B21" s="211"/>
      <c r="C21" s="30" t="s">
        <v>37</v>
      </c>
      <c r="D21" s="36" t="s">
        <v>21</v>
      </c>
      <c r="E21" s="82">
        <f t="shared" si="8"/>
        <v>0.05</v>
      </c>
      <c r="F21" s="83">
        <f t="shared" si="6"/>
        <v>3.5000000000000005E-3</v>
      </c>
      <c r="G21" s="84">
        <f t="shared" si="9"/>
        <v>0.15000000000000002</v>
      </c>
      <c r="H21" s="83">
        <f t="shared" si="7"/>
        <v>1.0500000000000002E-2</v>
      </c>
      <c r="I21" s="52">
        <v>5</v>
      </c>
      <c r="J21" s="245"/>
      <c r="K21" s="6">
        <f t="shared" si="10"/>
        <v>0.35000000000000003</v>
      </c>
      <c r="L21" s="224"/>
      <c r="M21" s="81">
        <f t="shared" si="11"/>
        <v>7</v>
      </c>
      <c r="N21" s="49">
        <v>70</v>
      </c>
      <c r="O21" s="224"/>
      <c r="P21" s="76"/>
      <c r="Q21" s="75"/>
      <c r="R21" s="7"/>
      <c r="S21" s="7"/>
      <c r="T21" s="7"/>
    </row>
    <row r="22" spans="1:20" x14ac:dyDescent="0.2">
      <c r="A22" s="240"/>
      <c r="B22" s="207" t="s">
        <v>46</v>
      </c>
      <c r="C22" s="27" t="s">
        <v>42</v>
      </c>
      <c r="D22" s="34" t="s">
        <v>3</v>
      </c>
      <c r="E22" s="58">
        <f t="shared" si="8"/>
        <v>3.95</v>
      </c>
      <c r="F22" s="45">
        <f t="shared" si="6"/>
        <v>3.95E-2</v>
      </c>
      <c r="G22" s="39">
        <f t="shared" si="9"/>
        <v>11.850000000000001</v>
      </c>
      <c r="H22" s="45">
        <f t="shared" si="7"/>
        <v>0.11850000000000002</v>
      </c>
      <c r="I22" s="58">
        <v>395</v>
      </c>
      <c r="J22" s="246">
        <f>SUM(I22:I26)</f>
        <v>615</v>
      </c>
      <c r="K22" s="69">
        <f t="shared" si="10"/>
        <v>3.95</v>
      </c>
      <c r="L22" s="225">
        <f>SUM(K22:K26)</f>
        <v>7.6800000000000006</v>
      </c>
      <c r="M22" s="68">
        <f t="shared" si="11"/>
        <v>1</v>
      </c>
      <c r="N22" s="120">
        <v>10</v>
      </c>
      <c r="O22" s="225">
        <f>L22/J22*1000</f>
        <v>12.487804878048781</v>
      </c>
      <c r="P22" s="76"/>
      <c r="Q22" s="75"/>
      <c r="R22" s="7"/>
      <c r="S22" s="7"/>
      <c r="T22" s="7"/>
    </row>
    <row r="23" spans="1:20" x14ac:dyDescent="0.2">
      <c r="A23" s="240"/>
      <c r="B23" s="207"/>
      <c r="C23" s="27" t="s">
        <v>43</v>
      </c>
      <c r="D23" s="34" t="s">
        <v>3</v>
      </c>
      <c r="E23" s="58">
        <f t="shared" si="8"/>
        <v>0.5</v>
      </c>
      <c r="F23" s="45">
        <f t="shared" si="6"/>
        <v>1.2500000000000001E-2</v>
      </c>
      <c r="G23" s="39">
        <f t="shared" si="9"/>
        <v>1.5</v>
      </c>
      <c r="H23" s="45">
        <f t="shared" si="7"/>
        <v>3.7500000000000006E-2</v>
      </c>
      <c r="I23" s="58">
        <v>50</v>
      </c>
      <c r="J23" s="247"/>
      <c r="K23" s="69">
        <f t="shared" si="10"/>
        <v>1.25</v>
      </c>
      <c r="L23" s="226"/>
      <c r="M23" s="68">
        <f t="shared" si="11"/>
        <v>2.5</v>
      </c>
      <c r="N23" s="120">
        <v>25</v>
      </c>
      <c r="O23" s="226"/>
      <c r="P23" s="75"/>
      <c r="Q23" s="75"/>
      <c r="R23" s="7"/>
      <c r="S23" s="7"/>
      <c r="T23" s="7"/>
    </row>
    <row r="24" spans="1:20" x14ac:dyDescent="0.2">
      <c r="A24" s="240"/>
      <c r="B24" s="207"/>
      <c r="C24" s="27" t="s">
        <v>44</v>
      </c>
      <c r="D24" s="34" t="s">
        <v>3</v>
      </c>
      <c r="E24" s="58">
        <f t="shared" si="8"/>
        <v>1</v>
      </c>
      <c r="F24" s="45">
        <f t="shared" si="6"/>
        <v>0.01</v>
      </c>
      <c r="G24" s="39">
        <f t="shared" si="9"/>
        <v>3</v>
      </c>
      <c r="H24" s="45">
        <f t="shared" si="7"/>
        <v>0.03</v>
      </c>
      <c r="I24" s="58">
        <v>100</v>
      </c>
      <c r="J24" s="247"/>
      <c r="K24" s="69">
        <f t="shared" si="10"/>
        <v>1</v>
      </c>
      <c r="L24" s="226"/>
      <c r="M24" s="68">
        <f t="shared" si="11"/>
        <v>1</v>
      </c>
      <c r="N24" s="120">
        <v>10</v>
      </c>
      <c r="O24" s="226"/>
      <c r="P24" s="75"/>
      <c r="Q24" s="75"/>
      <c r="R24" s="7"/>
      <c r="S24" s="7"/>
      <c r="T24" s="7"/>
    </row>
    <row r="25" spans="1:20" x14ac:dyDescent="0.2">
      <c r="A25" s="240"/>
      <c r="B25" s="207"/>
      <c r="C25" s="27" t="s">
        <v>24</v>
      </c>
      <c r="D25" s="34" t="s">
        <v>3</v>
      </c>
      <c r="E25" s="58">
        <f t="shared" si="8"/>
        <v>0.2</v>
      </c>
      <c r="F25" s="45">
        <f t="shared" si="6"/>
        <v>2.8000000000000004E-3</v>
      </c>
      <c r="G25" s="39">
        <f t="shared" si="9"/>
        <v>0.60000000000000009</v>
      </c>
      <c r="H25" s="45">
        <f t="shared" si="7"/>
        <v>8.4000000000000012E-3</v>
      </c>
      <c r="I25" s="58">
        <v>20</v>
      </c>
      <c r="J25" s="247"/>
      <c r="K25" s="69">
        <f t="shared" si="10"/>
        <v>0.28000000000000003</v>
      </c>
      <c r="L25" s="226"/>
      <c r="M25" s="68">
        <f t="shared" si="11"/>
        <v>1.4</v>
      </c>
      <c r="N25" s="120">
        <v>14</v>
      </c>
      <c r="O25" s="226"/>
      <c r="P25" s="75"/>
      <c r="Q25" s="75"/>
      <c r="R25" s="7"/>
      <c r="S25" s="7"/>
      <c r="T25" s="7"/>
    </row>
    <row r="26" spans="1:20" ht="21" thickBot="1" x14ac:dyDescent="0.25">
      <c r="A26" s="240"/>
      <c r="B26" s="208"/>
      <c r="C26" s="27" t="s">
        <v>45</v>
      </c>
      <c r="D26" s="34" t="s">
        <v>3</v>
      </c>
      <c r="E26" s="58">
        <f t="shared" si="8"/>
        <v>0.5</v>
      </c>
      <c r="F26" s="45">
        <f t="shared" si="6"/>
        <v>1.2E-2</v>
      </c>
      <c r="G26" s="39">
        <f t="shared" si="9"/>
        <v>1.5</v>
      </c>
      <c r="H26" s="45">
        <f t="shared" si="7"/>
        <v>3.6000000000000004E-2</v>
      </c>
      <c r="I26" s="58">
        <v>50</v>
      </c>
      <c r="J26" s="248"/>
      <c r="K26" s="69">
        <f t="shared" si="10"/>
        <v>1.2</v>
      </c>
      <c r="L26" s="227"/>
      <c r="M26" s="68">
        <f t="shared" si="11"/>
        <v>2.4</v>
      </c>
      <c r="N26" s="120">
        <v>24</v>
      </c>
      <c r="O26" s="227"/>
      <c r="P26" s="75"/>
      <c r="Q26" s="75"/>
      <c r="R26" s="7"/>
      <c r="S26" s="7"/>
      <c r="T26" s="7"/>
    </row>
    <row r="27" spans="1:20" x14ac:dyDescent="0.2">
      <c r="A27" s="94"/>
      <c r="B27" s="241" t="s">
        <v>75</v>
      </c>
      <c r="C27" s="127" t="s">
        <v>43</v>
      </c>
      <c r="D27" s="128" t="s">
        <v>3</v>
      </c>
      <c r="E27" s="82">
        <f t="shared" si="8"/>
        <v>4</v>
      </c>
      <c r="F27" s="83">
        <f t="shared" si="6"/>
        <v>0.1</v>
      </c>
      <c r="G27" s="84">
        <f t="shared" si="9"/>
        <v>12</v>
      </c>
      <c r="H27" s="83">
        <f t="shared" si="7"/>
        <v>0.30000000000000004</v>
      </c>
      <c r="I27" s="82">
        <v>400</v>
      </c>
      <c r="J27" s="197">
        <f>SUM(I27:I30)</f>
        <v>660</v>
      </c>
      <c r="K27" s="129">
        <f t="shared" si="10"/>
        <v>10</v>
      </c>
      <c r="L27" s="200">
        <f>SUM(K27:K30)</f>
        <v>13.625</v>
      </c>
      <c r="M27" s="130">
        <f t="shared" si="11"/>
        <v>2.5</v>
      </c>
      <c r="N27" s="130">
        <v>25</v>
      </c>
      <c r="O27" s="200">
        <f>L27/J27*1000</f>
        <v>20.643939393939394</v>
      </c>
      <c r="P27" s="75"/>
      <c r="Q27" s="75"/>
      <c r="R27" s="7"/>
      <c r="S27" s="7"/>
      <c r="T27" s="7"/>
    </row>
    <row r="28" spans="1:20" x14ac:dyDescent="0.2">
      <c r="A28" s="94"/>
      <c r="B28" s="242"/>
      <c r="C28" s="127" t="s">
        <v>44</v>
      </c>
      <c r="D28" s="128" t="s">
        <v>3</v>
      </c>
      <c r="E28" s="82">
        <f t="shared" si="8"/>
        <v>2</v>
      </c>
      <c r="F28" s="83">
        <f t="shared" si="6"/>
        <v>0.02</v>
      </c>
      <c r="G28" s="84">
        <f t="shared" si="9"/>
        <v>6</v>
      </c>
      <c r="H28" s="83">
        <f t="shared" si="7"/>
        <v>0.06</v>
      </c>
      <c r="I28" s="82">
        <v>200</v>
      </c>
      <c r="J28" s="198"/>
      <c r="K28" s="129">
        <f t="shared" si="10"/>
        <v>2</v>
      </c>
      <c r="L28" s="201"/>
      <c r="M28" s="130">
        <f t="shared" si="11"/>
        <v>1</v>
      </c>
      <c r="N28" s="130">
        <v>10</v>
      </c>
      <c r="O28" s="201"/>
      <c r="P28" s="75"/>
      <c r="Q28" s="75"/>
      <c r="R28" s="7"/>
      <c r="S28" s="7"/>
      <c r="T28" s="7"/>
    </row>
    <row r="29" spans="1:20" x14ac:dyDescent="0.2">
      <c r="A29" s="94"/>
      <c r="B29" s="242"/>
      <c r="C29" s="127" t="s">
        <v>76</v>
      </c>
      <c r="D29" s="128" t="s">
        <v>3</v>
      </c>
      <c r="E29" s="82">
        <f t="shared" si="8"/>
        <v>0.1</v>
      </c>
      <c r="F29" s="83">
        <f t="shared" si="6"/>
        <v>5.2500000000000003E-3</v>
      </c>
      <c r="G29" s="84">
        <f t="shared" si="9"/>
        <v>0.30000000000000004</v>
      </c>
      <c r="H29" s="83">
        <f t="shared" si="7"/>
        <v>1.575E-2</v>
      </c>
      <c r="I29" s="82">
        <v>10</v>
      </c>
      <c r="J29" s="198"/>
      <c r="K29" s="129">
        <f t="shared" si="10"/>
        <v>0.52500000000000002</v>
      </c>
      <c r="L29" s="201"/>
      <c r="M29" s="130">
        <f t="shared" si="11"/>
        <v>5.25</v>
      </c>
      <c r="N29" s="130">
        <v>52.5</v>
      </c>
      <c r="O29" s="201"/>
      <c r="P29" s="75"/>
      <c r="Q29" s="75"/>
      <c r="R29" s="7"/>
      <c r="S29" s="7"/>
      <c r="T29" s="7"/>
    </row>
    <row r="30" spans="1:20" ht="21" thickBot="1" x14ac:dyDescent="0.25">
      <c r="A30" s="94"/>
      <c r="B30" s="242"/>
      <c r="C30" s="127" t="s">
        <v>77</v>
      </c>
      <c r="D30" s="128" t="s">
        <v>3</v>
      </c>
      <c r="E30" s="82">
        <f t="shared" si="8"/>
        <v>0.5</v>
      </c>
      <c r="F30" s="83">
        <f t="shared" si="6"/>
        <v>1.0999999999999999E-2</v>
      </c>
      <c r="G30" s="84">
        <f t="shared" si="9"/>
        <v>1.5</v>
      </c>
      <c r="H30" s="83">
        <f t="shared" si="7"/>
        <v>3.3000000000000002E-2</v>
      </c>
      <c r="I30" s="82">
        <v>50</v>
      </c>
      <c r="J30" s="199"/>
      <c r="K30" s="129">
        <f t="shared" si="10"/>
        <v>1.0999999999999999</v>
      </c>
      <c r="L30" s="202"/>
      <c r="M30" s="130">
        <f t="shared" si="11"/>
        <v>2.2000000000000002</v>
      </c>
      <c r="N30" s="130">
        <v>22</v>
      </c>
      <c r="O30" s="202"/>
      <c r="P30" s="75"/>
      <c r="Q30" s="75"/>
      <c r="R30" s="7"/>
      <c r="S30" s="7"/>
      <c r="T30" s="7"/>
    </row>
    <row r="31" spans="1:20" x14ac:dyDescent="0.2">
      <c r="A31" s="21"/>
      <c r="B31" s="22"/>
      <c r="C31" s="28" t="s">
        <v>47</v>
      </c>
      <c r="D31" s="28"/>
      <c r="E31" s="13"/>
      <c r="F31" s="46"/>
      <c r="G31" s="13"/>
      <c r="H31" s="46"/>
      <c r="I31" s="55"/>
      <c r="J31" s="56"/>
      <c r="K31" s="66" t="s">
        <v>30</v>
      </c>
      <c r="L31" s="46" t="s">
        <v>52</v>
      </c>
      <c r="M31" s="14"/>
      <c r="N31" s="87"/>
      <c r="O31" s="88"/>
      <c r="P31" s="7"/>
      <c r="Q31" s="7"/>
      <c r="R31" s="7"/>
      <c r="S31" s="7"/>
      <c r="T31" s="7"/>
    </row>
    <row r="32" spans="1:20" ht="20.25" customHeight="1" x14ac:dyDescent="0.2">
      <c r="A32" s="235" t="s">
        <v>63</v>
      </c>
      <c r="B32" s="236"/>
      <c r="C32" s="26" t="s">
        <v>48</v>
      </c>
      <c r="D32" s="33" t="s">
        <v>32</v>
      </c>
      <c r="E32" s="16">
        <v>1</v>
      </c>
      <c r="F32" s="73">
        <f>L32/100</f>
        <v>0.05</v>
      </c>
      <c r="G32" s="16">
        <v>1</v>
      </c>
      <c r="H32" s="73">
        <f>L32/100</f>
        <v>0.05</v>
      </c>
      <c r="I32" s="52"/>
      <c r="J32" s="53"/>
      <c r="K32" s="16"/>
      <c r="L32" s="44">
        <v>5</v>
      </c>
      <c r="O32" s="7"/>
      <c r="P32" s="7"/>
      <c r="Q32" s="7"/>
      <c r="R32" s="7"/>
      <c r="S32" s="7"/>
      <c r="T32" s="7"/>
    </row>
    <row r="33" spans="1:19" x14ac:dyDescent="0.2">
      <c r="A33" s="235"/>
      <c r="B33" s="236"/>
      <c r="C33" s="26" t="s">
        <v>49</v>
      </c>
      <c r="D33" s="33" t="s">
        <v>51</v>
      </c>
      <c r="E33" s="62">
        <v>0.22</v>
      </c>
      <c r="F33" s="73">
        <f>L33/100*E33</f>
        <v>1.5840000000000003E-2</v>
      </c>
      <c r="G33" s="62">
        <v>0.22</v>
      </c>
      <c r="H33" s="73">
        <f>L33/100*G33</f>
        <v>1.5840000000000003E-2</v>
      </c>
      <c r="I33" s="6">
        <f>SUM(H32:H34)</f>
        <v>8.3840000000000012E-2</v>
      </c>
      <c r="J33" s="17"/>
      <c r="K33" s="16"/>
      <c r="L33" s="44">
        <v>7.2</v>
      </c>
      <c r="N33" s="11"/>
      <c r="O33" s="7"/>
      <c r="P33" s="7"/>
      <c r="Q33" s="7"/>
      <c r="R33" s="7"/>
      <c r="S33" s="7"/>
    </row>
    <row r="34" spans="1:19" ht="21" thickBot="1" x14ac:dyDescent="0.25">
      <c r="A34" s="237"/>
      <c r="B34" s="238"/>
      <c r="C34" s="31" t="s">
        <v>50</v>
      </c>
      <c r="D34" s="37" t="s">
        <v>32</v>
      </c>
      <c r="E34" s="41">
        <v>1</v>
      </c>
      <c r="F34" s="74">
        <f>L34/100</f>
        <v>1.8000000000000002E-2</v>
      </c>
      <c r="G34" s="41">
        <v>1</v>
      </c>
      <c r="H34" s="74">
        <f>L34/100</f>
        <v>1.8000000000000002E-2</v>
      </c>
      <c r="I34" s="59"/>
      <c r="J34" s="60"/>
      <c r="K34" s="41"/>
      <c r="L34" s="50">
        <v>1.8</v>
      </c>
      <c r="N34" s="11"/>
      <c r="O34" s="7"/>
      <c r="P34" s="7"/>
      <c r="Q34" s="7"/>
      <c r="R34" s="7"/>
      <c r="S34" s="7"/>
    </row>
    <row r="35" spans="1:19" ht="21" thickBot="1" x14ac:dyDescent="0.25">
      <c r="A35" s="91"/>
      <c r="B35" s="91"/>
      <c r="C35" s="92"/>
      <c r="D35" s="88"/>
      <c r="E35" s="61" t="s">
        <v>71</v>
      </c>
      <c r="F35" s="14" t="s">
        <v>72</v>
      </c>
      <c r="G35" s="61" t="s">
        <v>71</v>
      </c>
      <c r="H35" s="14" t="s">
        <v>72</v>
      </c>
      <c r="I35" s="19"/>
      <c r="J35" s="19"/>
      <c r="K35" s="14"/>
      <c r="L35" s="14"/>
      <c r="M35" s="14"/>
      <c r="N35" s="93"/>
      <c r="O35" s="61"/>
      <c r="P35" s="7"/>
      <c r="Q35" s="7"/>
      <c r="R35" s="7"/>
      <c r="S35" s="7"/>
    </row>
    <row r="36" spans="1:19" ht="30" customHeight="1" x14ac:dyDescent="0.2">
      <c r="A36" s="195" t="s">
        <v>67</v>
      </c>
      <c r="B36" s="195"/>
      <c r="C36" s="106" t="s">
        <v>68</v>
      </c>
      <c r="D36" s="108"/>
      <c r="E36" s="112">
        <f>SUM($F$15,$F$17:$F$18,)</f>
        <v>0.34029285714285712</v>
      </c>
      <c r="F36" s="109">
        <f>SUM($F$15,$F$17:$F$18,$F$32:$F$34)</f>
        <v>0.42413285714285714</v>
      </c>
      <c r="G36" s="112">
        <f>SUM($H$17:$H$18,$H$15)</f>
        <v>0.8445869565217391</v>
      </c>
      <c r="H36" s="109">
        <f>SUM($H$17:$H$18,$H$15,$H$32:$H$34)</f>
        <v>0.92842695652173912</v>
      </c>
      <c r="I36" s="162"/>
      <c r="J36" s="162"/>
      <c r="K36" s="130"/>
      <c r="L36" s="130"/>
      <c r="M36" s="163"/>
      <c r="N36" s="130"/>
      <c r="O36" s="164"/>
      <c r="P36" s="164"/>
      <c r="Q36" s="165"/>
      <c r="R36" s="165"/>
    </row>
    <row r="37" spans="1:19" ht="30" customHeight="1" x14ac:dyDescent="0.2">
      <c r="A37" s="196"/>
      <c r="B37" s="196"/>
      <c r="C37" s="107" t="s">
        <v>69</v>
      </c>
      <c r="D37" s="110"/>
      <c r="E37" s="113">
        <f>SUM($F$17,$F$15,$F$19:$F$21)</f>
        <v>0.38879285714285711</v>
      </c>
      <c r="F37" s="111">
        <f>SUM($F$17,$F$19:$F$21,$F$32:$F$34,$F$15)</f>
        <v>0.47263285714285719</v>
      </c>
      <c r="G37" s="113">
        <f>SUM($H$17,$H$15,$H$19:$H$21)</f>
        <v>0.99008695652173917</v>
      </c>
      <c r="H37" s="111">
        <f>SUM($H$17,$H$19:$H$21,$H$32:$H$34,$H$15)</f>
        <v>1.0739269565217391</v>
      </c>
      <c r="I37" s="162"/>
      <c r="J37" s="162"/>
      <c r="K37" s="130"/>
      <c r="L37" s="130"/>
      <c r="M37" s="163"/>
      <c r="N37" s="130"/>
      <c r="O37" s="164"/>
      <c r="P37" s="164"/>
      <c r="Q37" s="165"/>
      <c r="R37" s="165"/>
    </row>
    <row r="38" spans="1:19" ht="30" customHeight="1" thickBot="1" x14ac:dyDescent="0.25">
      <c r="A38" s="196"/>
      <c r="B38" s="196"/>
      <c r="C38" s="121" t="s">
        <v>70</v>
      </c>
      <c r="D38" s="122"/>
      <c r="E38" s="123">
        <f>SUM(F17,F15,F22:F26)</f>
        <v>0.34209285714285714</v>
      </c>
      <c r="F38" s="124">
        <f>SUM(F17,F22:F26,F32:F34,F15)</f>
        <v>0.42593285714285717</v>
      </c>
      <c r="G38" s="123">
        <f>SUM(H17,H15,H22:H26)</f>
        <v>0.84998695652173917</v>
      </c>
      <c r="H38" s="124">
        <f>SUM(H17,H22:H26,H32:H34,H15)</f>
        <v>0.93382695652173919</v>
      </c>
      <c r="I38" s="162"/>
      <c r="J38" s="162"/>
      <c r="K38" s="130"/>
      <c r="L38" s="130"/>
      <c r="M38" s="163"/>
      <c r="N38" s="130"/>
      <c r="O38" s="164"/>
      <c r="P38" s="164"/>
      <c r="Q38" s="165"/>
      <c r="R38" s="165"/>
    </row>
    <row r="39" spans="1:19" ht="30" customHeight="1" thickBot="1" x14ac:dyDescent="0.25">
      <c r="A39" s="196"/>
      <c r="B39" s="196"/>
      <c r="C39" s="125" t="s">
        <v>78</v>
      </c>
      <c r="D39" s="126"/>
      <c r="E39" s="132">
        <f>SUM($F$17,$F$15,$F$27:$F$30)</f>
        <v>0.40154285714285709</v>
      </c>
      <c r="F39" s="133">
        <f>SUM(F17,F27:F30,F32:F34,F15)</f>
        <v>0.48538285714285717</v>
      </c>
      <c r="G39" s="132">
        <f>SUM($H$17,$H$15,$H$27:$H$30)</f>
        <v>1.0283369565217393</v>
      </c>
      <c r="H39" s="133">
        <f>SUM($H$17,$H$27:$H$30,$H$32:$H$34,$H$15)</f>
        <v>1.1121769565217392</v>
      </c>
      <c r="I39" s="162"/>
      <c r="J39" s="162"/>
      <c r="K39" s="130"/>
      <c r="L39" s="130"/>
      <c r="M39" s="163"/>
      <c r="N39" s="130"/>
      <c r="O39" s="164"/>
      <c r="P39" s="164"/>
      <c r="Q39" s="165"/>
      <c r="R39" s="165"/>
    </row>
    <row r="40" spans="1:19" x14ac:dyDescent="0.2">
      <c r="I40" s="166"/>
      <c r="J40" s="166"/>
      <c r="K40" s="164"/>
      <c r="L40" s="164"/>
      <c r="M40" s="164"/>
      <c r="N40" s="164"/>
      <c r="O40" s="164"/>
      <c r="P40" s="164"/>
      <c r="Q40" s="164"/>
      <c r="R40" s="167"/>
    </row>
    <row r="41" spans="1:19" x14ac:dyDescent="0.2">
      <c r="D41" s="119"/>
      <c r="E41" s="119"/>
      <c r="F41" s="130"/>
      <c r="G41" s="119"/>
      <c r="N41" s="119"/>
    </row>
  </sheetData>
  <mergeCells count="28">
    <mergeCell ref="C1:C2"/>
    <mergeCell ref="D1:H1"/>
    <mergeCell ref="O15:O16"/>
    <mergeCell ref="A32:B34"/>
    <mergeCell ref="A3:A14"/>
    <mergeCell ref="A17:A26"/>
    <mergeCell ref="B27:B30"/>
    <mergeCell ref="L22:L26"/>
    <mergeCell ref="J19:J21"/>
    <mergeCell ref="J22:J26"/>
    <mergeCell ref="L3:L14"/>
    <mergeCell ref="L19:L21"/>
    <mergeCell ref="A36:B39"/>
    <mergeCell ref="J27:J30"/>
    <mergeCell ref="L27:L30"/>
    <mergeCell ref="O27:O30"/>
    <mergeCell ref="I1:L1"/>
    <mergeCell ref="M1:O1"/>
    <mergeCell ref="B22:B26"/>
    <mergeCell ref="B3:B9"/>
    <mergeCell ref="B10:B14"/>
    <mergeCell ref="B19:B21"/>
    <mergeCell ref="I2:J2"/>
    <mergeCell ref="K2:L2"/>
    <mergeCell ref="J3:J14"/>
    <mergeCell ref="O3:O14"/>
    <mergeCell ref="O19:O21"/>
    <mergeCell ref="O22:O26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J22 J1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37FBC-29BD-4038-8249-F9C9C4FE1701}">
  <sheetPr codeName="Planilha2"/>
  <dimension ref="A1:B10"/>
  <sheetViews>
    <sheetView zoomScaleNormal="100" workbookViewId="0">
      <selection activeCell="C12" sqref="C12"/>
    </sheetView>
  </sheetViews>
  <sheetFormatPr defaultRowHeight="20.25" x14ac:dyDescent="0.2"/>
  <cols>
    <col min="1" max="1" width="23.875" style="7" customWidth="1"/>
    <col min="2" max="2" width="15.5" style="7" bestFit="1" customWidth="1"/>
    <col min="3" max="16384" width="9" style="7"/>
  </cols>
  <sheetData>
    <row r="1" spans="1:2" s="100" customFormat="1" ht="21" thickBot="1" x14ac:dyDescent="0.25">
      <c r="A1" s="61" t="s">
        <v>106</v>
      </c>
      <c r="B1" s="61" t="s">
        <v>105</v>
      </c>
    </row>
    <row r="2" spans="1:2" ht="21" thickBot="1" x14ac:dyDescent="0.25">
      <c r="A2" s="170" t="s">
        <v>102</v>
      </c>
      <c r="B2" s="171">
        <f>'Preço stock'!O3</f>
        <v>6.7463276836158181</v>
      </c>
    </row>
    <row r="3" spans="1:2" x14ac:dyDescent="0.2">
      <c r="A3" s="178" t="s">
        <v>107</v>
      </c>
      <c r="B3" s="173">
        <f>'Preço stock'!O17</f>
        <v>18.000000000000004</v>
      </c>
    </row>
    <row r="4" spans="1:2" ht="21" thickBot="1" x14ac:dyDescent="0.25"/>
    <row r="5" spans="1:2" x14ac:dyDescent="0.2">
      <c r="A5" s="172" t="s">
        <v>68</v>
      </c>
      <c r="B5" s="173">
        <f>'Preço stock'!O18</f>
        <v>12.5</v>
      </c>
    </row>
    <row r="6" spans="1:2" x14ac:dyDescent="0.2">
      <c r="A6" s="174" t="s">
        <v>69</v>
      </c>
      <c r="B6" s="173">
        <f>'Preço stock'!O19</f>
        <v>20.413223140495866</v>
      </c>
    </row>
    <row r="7" spans="1:2" x14ac:dyDescent="0.2">
      <c r="A7" s="175" t="s">
        <v>70</v>
      </c>
      <c r="B7" s="173">
        <f>'Preço stock'!O22</f>
        <v>12.487804878048781</v>
      </c>
    </row>
    <row r="8" spans="1:2" ht="21" thickBot="1" x14ac:dyDescent="0.25">
      <c r="A8" s="176" t="s">
        <v>104</v>
      </c>
      <c r="B8" s="173">
        <f>'Preço stock'!O27</f>
        <v>20.643939393939394</v>
      </c>
    </row>
    <row r="10" spans="1:2" ht="21" thickBot="1" x14ac:dyDescent="0.25">
      <c r="A10" s="177" t="s">
        <v>103</v>
      </c>
      <c r="B10" s="173">
        <f>'Preço stock'!I33</f>
        <v>8.3840000000000012E-2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24A52-5C1C-4305-B577-81F2A0CF5142}">
  <sheetPr codeName="Planilha3"/>
  <dimension ref="A1:K16"/>
  <sheetViews>
    <sheetView workbookViewId="0">
      <selection activeCell="J2" sqref="J2"/>
    </sheetView>
  </sheetViews>
  <sheetFormatPr defaultRowHeight="18" x14ac:dyDescent="0.2"/>
  <cols>
    <col min="1" max="1" width="26.125" style="182" customWidth="1"/>
    <col min="2" max="3" width="7.875" style="139" bestFit="1" customWidth="1"/>
    <col min="4" max="4" width="6.5" style="139" bestFit="1" customWidth="1"/>
    <col min="5" max="5" width="8.125" style="139" bestFit="1" customWidth="1"/>
    <col min="6" max="6" width="6.125" style="139" customWidth="1"/>
    <col min="7" max="8" width="7.875" style="139" bestFit="1" customWidth="1"/>
    <col min="9" max="9" width="6.5" style="139" bestFit="1" customWidth="1"/>
    <col min="10" max="10" width="8.125" style="139" bestFit="1" customWidth="1"/>
    <col min="11" max="16384" width="9" style="139"/>
  </cols>
  <sheetData>
    <row r="1" spans="1:11" s="179" customFormat="1" ht="18.75" customHeight="1" thickBot="1" x14ac:dyDescent="0.25">
      <c r="A1" s="180"/>
      <c r="B1" s="249" t="s">
        <v>99</v>
      </c>
      <c r="C1" s="250"/>
      <c r="D1" s="250"/>
      <c r="E1" s="251"/>
      <c r="G1" s="249" t="s">
        <v>85</v>
      </c>
      <c r="H1" s="250"/>
      <c r="I1" s="250"/>
      <c r="J1" s="251"/>
    </row>
    <row r="2" spans="1:11" ht="30" customHeight="1" thickBot="1" x14ac:dyDescent="0.25">
      <c r="A2" s="181" t="s">
        <v>108</v>
      </c>
      <c r="B2" s="169" t="s">
        <v>96</v>
      </c>
      <c r="C2" s="142" t="s">
        <v>95</v>
      </c>
      <c r="D2" s="143" t="s">
        <v>93</v>
      </c>
      <c r="E2" s="144" t="s">
        <v>94</v>
      </c>
      <c r="F2" s="179"/>
      <c r="G2" s="169" t="s">
        <v>96</v>
      </c>
      <c r="H2" s="142" t="s">
        <v>95</v>
      </c>
      <c r="I2" s="143" t="s">
        <v>93</v>
      </c>
      <c r="J2" s="144" t="s">
        <v>94</v>
      </c>
    </row>
    <row r="3" spans="1:11" ht="24" thickBot="1" x14ac:dyDescent="0.25">
      <c r="A3" s="183">
        <v>43752</v>
      </c>
      <c r="B3" s="148">
        <v>14</v>
      </c>
      <c r="C3" s="148">
        <v>16</v>
      </c>
      <c r="D3" s="148">
        <v>10</v>
      </c>
      <c r="E3" s="148">
        <v>10</v>
      </c>
      <c r="F3" s="131">
        <f t="shared" ref="F3:F14" si="0">SUM(B3:E3)</f>
        <v>50</v>
      </c>
      <c r="G3" s="147">
        <v>5</v>
      </c>
      <c r="H3" s="147">
        <v>7</v>
      </c>
      <c r="I3" s="147">
        <v>5</v>
      </c>
      <c r="J3" s="147">
        <v>5</v>
      </c>
      <c r="K3" s="131">
        <f t="shared" ref="K3:K15" si="1">SUM(G3:J3)</f>
        <v>22</v>
      </c>
    </row>
    <row r="4" spans="1:11" ht="24" thickBot="1" x14ac:dyDescent="0.25">
      <c r="A4" s="184">
        <v>43756</v>
      </c>
      <c r="B4" s="148">
        <v>12</v>
      </c>
      <c r="C4" s="148">
        <v>14</v>
      </c>
      <c r="D4" s="148">
        <v>12</v>
      </c>
      <c r="E4" s="148">
        <v>14</v>
      </c>
      <c r="F4" s="131">
        <f t="shared" si="0"/>
        <v>52</v>
      </c>
      <c r="G4" s="147">
        <v>5</v>
      </c>
      <c r="H4" s="147">
        <v>12</v>
      </c>
      <c r="I4" s="147">
        <v>5</v>
      </c>
      <c r="J4" s="147">
        <v>6</v>
      </c>
      <c r="K4" s="131">
        <f t="shared" si="1"/>
        <v>28</v>
      </c>
    </row>
    <row r="5" spans="1:11" ht="24" thickBot="1" x14ac:dyDescent="0.25">
      <c r="A5" s="184">
        <v>43759</v>
      </c>
      <c r="B5" s="148">
        <v>15</v>
      </c>
      <c r="C5" s="148">
        <v>15</v>
      </c>
      <c r="D5" s="148">
        <v>15</v>
      </c>
      <c r="E5" s="148">
        <v>15</v>
      </c>
      <c r="F5" s="131">
        <f t="shared" si="0"/>
        <v>60</v>
      </c>
      <c r="G5" s="147">
        <v>5</v>
      </c>
      <c r="H5" s="147">
        <v>10</v>
      </c>
      <c r="I5" s="147">
        <v>5</v>
      </c>
      <c r="J5" s="147">
        <v>5</v>
      </c>
      <c r="K5" s="131">
        <f t="shared" si="1"/>
        <v>25</v>
      </c>
    </row>
    <row r="6" spans="1:11" ht="24" thickBot="1" x14ac:dyDescent="0.25">
      <c r="A6" s="183">
        <v>43771</v>
      </c>
      <c r="B6" s="148">
        <v>35</v>
      </c>
      <c r="C6" s="148">
        <v>15</v>
      </c>
      <c r="D6" s="148">
        <v>15</v>
      </c>
      <c r="E6" s="148">
        <v>10</v>
      </c>
      <c r="F6" s="131">
        <f t="shared" si="0"/>
        <v>75</v>
      </c>
      <c r="G6" s="147">
        <v>5</v>
      </c>
      <c r="H6" s="147">
        <v>10</v>
      </c>
      <c r="I6" s="147">
        <v>5</v>
      </c>
      <c r="J6" s="147">
        <v>0</v>
      </c>
      <c r="K6" s="131">
        <f t="shared" si="1"/>
        <v>20</v>
      </c>
    </row>
    <row r="7" spans="1:11" ht="24" thickBot="1" x14ac:dyDescent="0.25">
      <c r="A7" s="184">
        <v>43780</v>
      </c>
      <c r="B7" s="148">
        <v>10</v>
      </c>
      <c r="C7" s="148">
        <v>15</v>
      </c>
      <c r="D7" s="148">
        <v>15</v>
      </c>
      <c r="E7" s="148">
        <v>10</v>
      </c>
      <c r="F7" s="131">
        <f t="shared" si="0"/>
        <v>50</v>
      </c>
      <c r="G7" s="147">
        <v>5</v>
      </c>
      <c r="H7" s="147">
        <v>10</v>
      </c>
      <c r="I7" s="147">
        <v>5</v>
      </c>
      <c r="J7" s="147">
        <v>0</v>
      </c>
      <c r="K7" s="131">
        <f t="shared" si="1"/>
        <v>20</v>
      </c>
    </row>
    <row r="8" spans="1:11" ht="24" thickBot="1" x14ac:dyDescent="0.25">
      <c r="A8" s="184">
        <v>43788</v>
      </c>
      <c r="B8" s="148">
        <v>10</v>
      </c>
      <c r="C8" s="148">
        <v>25</v>
      </c>
      <c r="D8" s="148">
        <v>25</v>
      </c>
      <c r="E8" s="148">
        <v>10</v>
      </c>
      <c r="F8" s="131">
        <f t="shared" si="0"/>
        <v>70</v>
      </c>
      <c r="G8" s="147">
        <v>0</v>
      </c>
      <c r="H8" s="147">
        <v>0</v>
      </c>
      <c r="I8" s="147">
        <v>0</v>
      </c>
      <c r="J8" s="147">
        <v>0</v>
      </c>
      <c r="K8" s="131">
        <f t="shared" si="1"/>
        <v>0</v>
      </c>
    </row>
    <row r="9" spans="1:11" ht="24" thickBot="1" x14ac:dyDescent="0.25">
      <c r="A9" s="183">
        <v>43840</v>
      </c>
      <c r="B9" s="148">
        <v>15</v>
      </c>
      <c r="C9" s="148">
        <v>15</v>
      </c>
      <c r="D9" s="148">
        <v>15</v>
      </c>
      <c r="E9" s="148">
        <v>15</v>
      </c>
      <c r="F9" s="131">
        <f t="shared" si="0"/>
        <v>60</v>
      </c>
      <c r="G9" s="147">
        <v>5</v>
      </c>
      <c r="H9" s="147">
        <v>7</v>
      </c>
      <c r="I9" s="147">
        <v>5</v>
      </c>
      <c r="J9" s="147">
        <v>0</v>
      </c>
      <c r="K9" s="131">
        <f t="shared" si="1"/>
        <v>17</v>
      </c>
    </row>
    <row r="10" spans="1:11" ht="24" thickBot="1" x14ac:dyDescent="0.25">
      <c r="A10" s="184">
        <v>43858</v>
      </c>
      <c r="B10" s="148">
        <v>10</v>
      </c>
      <c r="C10" s="148">
        <v>32</v>
      </c>
      <c r="D10" s="148">
        <v>32</v>
      </c>
      <c r="E10" s="148">
        <v>10</v>
      </c>
      <c r="F10" s="131">
        <f t="shared" si="0"/>
        <v>84</v>
      </c>
      <c r="G10" s="147">
        <v>5</v>
      </c>
      <c r="H10" s="147">
        <v>5</v>
      </c>
      <c r="I10" s="147">
        <v>5</v>
      </c>
      <c r="J10" s="147">
        <v>0</v>
      </c>
      <c r="K10" s="131">
        <f t="shared" si="1"/>
        <v>15</v>
      </c>
    </row>
    <row r="11" spans="1:11" ht="24" thickBot="1" x14ac:dyDescent="0.25">
      <c r="A11" s="183">
        <v>43862</v>
      </c>
      <c r="B11" s="148">
        <v>15</v>
      </c>
      <c r="C11" s="148">
        <v>15</v>
      </c>
      <c r="D11" s="148">
        <v>15</v>
      </c>
      <c r="E11" s="148">
        <v>0</v>
      </c>
      <c r="F11" s="131">
        <f t="shared" si="0"/>
        <v>45</v>
      </c>
      <c r="G11" s="147">
        <v>5</v>
      </c>
      <c r="H11" s="147">
        <v>5</v>
      </c>
      <c r="I11" s="147">
        <v>5</v>
      </c>
      <c r="J11" s="147">
        <v>0</v>
      </c>
      <c r="K11" s="131">
        <f t="shared" si="1"/>
        <v>15</v>
      </c>
    </row>
    <row r="12" spans="1:11" ht="24" thickBot="1" x14ac:dyDescent="0.25">
      <c r="A12" s="184">
        <v>43874</v>
      </c>
      <c r="B12" s="148">
        <v>15</v>
      </c>
      <c r="C12" s="148">
        <v>15</v>
      </c>
      <c r="D12" s="148">
        <v>15</v>
      </c>
      <c r="E12" s="148">
        <v>0</v>
      </c>
      <c r="F12" s="131">
        <f t="shared" si="0"/>
        <v>45</v>
      </c>
      <c r="G12" s="147">
        <v>5</v>
      </c>
      <c r="H12" s="147">
        <v>5</v>
      </c>
      <c r="I12" s="147">
        <v>5</v>
      </c>
      <c r="J12" s="147">
        <v>0</v>
      </c>
      <c r="K12" s="131">
        <f t="shared" si="1"/>
        <v>15</v>
      </c>
    </row>
    <row r="13" spans="1:11" ht="24" thickBot="1" x14ac:dyDescent="0.25">
      <c r="A13" s="184">
        <v>43881</v>
      </c>
      <c r="B13" s="148">
        <v>10</v>
      </c>
      <c r="C13" s="148">
        <v>10</v>
      </c>
      <c r="D13" s="148">
        <v>10</v>
      </c>
      <c r="E13" s="148">
        <v>10</v>
      </c>
      <c r="F13" s="131">
        <f t="shared" si="0"/>
        <v>40</v>
      </c>
      <c r="G13" s="147">
        <v>0</v>
      </c>
      <c r="H13" s="147">
        <v>0</v>
      </c>
      <c r="I13" s="147">
        <v>0</v>
      </c>
      <c r="J13" s="147">
        <v>0</v>
      </c>
      <c r="K13" s="131">
        <f t="shared" si="1"/>
        <v>0</v>
      </c>
    </row>
    <row r="14" spans="1:11" ht="24" thickBot="1" x14ac:dyDescent="0.25">
      <c r="A14" s="183">
        <v>43892</v>
      </c>
      <c r="B14" s="148">
        <v>12</v>
      </c>
      <c r="C14" s="148">
        <v>12</v>
      </c>
      <c r="D14" s="148">
        <v>12</v>
      </c>
      <c r="E14" s="148">
        <v>12</v>
      </c>
      <c r="F14" s="131">
        <f t="shared" si="0"/>
        <v>48</v>
      </c>
      <c r="G14" s="147">
        <v>5</v>
      </c>
      <c r="H14" s="147">
        <v>5</v>
      </c>
      <c r="I14" s="147">
        <v>5</v>
      </c>
      <c r="J14" s="147">
        <v>2</v>
      </c>
      <c r="K14" s="131">
        <f t="shared" si="1"/>
        <v>17</v>
      </c>
    </row>
    <row r="15" spans="1:11" ht="24" thickBot="1" x14ac:dyDescent="0.25">
      <c r="A15" s="184">
        <v>43906</v>
      </c>
      <c r="B15" s="148">
        <v>12</v>
      </c>
      <c r="C15" s="148">
        <v>10</v>
      </c>
      <c r="D15" s="148">
        <v>12</v>
      </c>
      <c r="E15" s="148">
        <v>12</v>
      </c>
      <c r="F15" s="131">
        <v>48</v>
      </c>
      <c r="G15" s="147">
        <v>5</v>
      </c>
      <c r="H15" s="147">
        <v>5</v>
      </c>
      <c r="I15" s="147">
        <v>5</v>
      </c>
      <c r="J15" s="147">
        <v>2</v>
      </c>
      <c r="K15" s="131">
        <f t="shared" si="1"/>
        <v>17</v>
      </c>
    </row>
    <row r="16" spans="1:11" ht="24" thickBot="1" x14ac:dyDescent="0.25">
      <c r="A16" s="184"/>
      <c r="B16" s="148"/>
      <c r="C16" s="148"/>
      <c r="D16" s="148"/>
      <c r="E16" s="148"/>
      <c r="F16" s="131"/>
      <c r="G16" s="147"/>
      <c r="H16" s="147"/>
      <c r="I16" s="147"/>
      <c r="J16" s="147"/>
      <c r="K16" s="131"/>
    </row>
  </sheetData>
  <mergeCells count="2">
    <mergeCell ref="G1:J1"/>
    <mergeCell ref="B1:E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BE3F4-6D30-433A-B525-9A281A5C610B}">
  <sheetPr codeName="Planilha6"/>
  <dimension ref="A1:E26"/>
  <sheetViews>
    <sheetView workbookViewId="0">
      <selection activeCell="B11" sqref="A1:D12"/>
    </sheetView>
  </sheetViews>
  <sheetFormatPr defaultRowHeight="14.25" x14ac:dyDescent="0.2"/>
  <cols>
    <col min="1" max="1" width="16.375" bestFit="1" customWidth="1"/>
    <col min="2" max="2" width="13.625" bestFit="1" customWidth="1"/>
    <col min="3" max="3" width="3.5" bestFit="1" customWidth="1"/>
    <col min="4" max="4" width="3.375" bestFit="1" customWidth="1"/>
  </cols>
  <sheetData>
    <row r="1" spans="1:5" ht="15" x14ac:dyDescent="0.25">
      <c r="A1" s="1" t="s">
        <v>0</v>
      </c>
      <c r="B1" s="1" t="s">
        <v>2</v>
      </c>
      <c r="C1" s="2">
        <v>240</v>
      </c>
      <c r="D1" s="2" t="s">
        <v>3</v>
      </c>
      <c r="E1" s="1"/>
    </row>
    <row r="2" spans="1:5" ht="15" x14ac:dyDescent="0.25">
      <c r="A2" s="3" t="s">
        <v>4</v>
      </c>
      <c r="B2" s="3" t="s">
        <v>5</v>
      </c>
      <c r="C2" s="4">
        <v>80</v>
      </c>
      <c r="D2" s="4" t="s">
        <v>3</v>
      </c>
      <c r="E2" s="3"/>
    </row>
    <row r="3" spans="1:5" ht="15" x14ac:dyDescent="0.25">
      <c r="A3" s="3" t="s">
        <v>6</v>
      </c>
      <c r="B3" s="3" t="s">
        <v>5</v>
      </c>
      <c r="C3" s="4">
        <v>70</v>
      </c>
      <c r="D3" s="4" t="s">
        <v>3</v>
      </c>
      <c r="E3" s="3"/>
    </row>
    <row r="4" spans="1:5" ht="15" x14ac:dyDescent="0.25">
      <c r="A4" s="3" t="s">
        <v>7</v>
      </c>
      <c r="B4" s="3" t="s">
        <v>8</v>
      </c>
      <c r="C4" s="4">
        <v>2</v>
      </c>
      <c r="D4" s="4" t="s">
        <v>3</v>
      </c>
      <c r="E4" s="3"/>
    </row>
    <row r="5" spans="1:5" ht="15" x14ac:dyDescent="0.25">
      <c r="A5" s="3" t="s">
        <v>9</v>
      </c>
      <c r="B5" s="3" t="s">
        <v>10</v>
      </c>
      <c r="C5" s="4">
        <v>10</v>
      </c>
      <c r="D5" s="4" t="s">
        <v>3</v>
      </c>
      <c r="E5" s="3"/>
    </row>
    <row r="6" spans="1:5" ht="15" x14ac:dyDescent="0.25">
      <c r="A6" s="3" t="s">
        <v>11</v>
      </c>
      <c r="B6" s="3" t="s">
        <v>10</v>
      </c>
      <c r="C6" s="4">
        <v>6</v>
      </c>
      <c r="D6" s="4" t="s">
        <v>3</v>
      </c>
      <c r="E6" s="3"/>
    </row>
    <row r="7" spans="1:5" ht="15" x14ac:dyDescent="0.25">
      <c r="A7" s="3" t="s">
        <v>12</v>
      </c>
      <c r="B7" s="3" t="s">
        <v>13</v>
      </c>
      <c r="C7" s="4">
        <v>1</v>
      </c>
      <c r="D7" s="4" t="s">
        <v>3</v>
      </c>
      <c r="E7" s="3"/>
    </row>
    <row r="8" spans="1:5" ht="15" x14ac:dyDescent="0.25">
      <c r="A8" s="3" t="s">
        <v>14</v>
      </c>
      <c r="B8" s="3" t="s">
        <v>15</v>
      </c>
      <c r="C8" s="4"/>
      <c r="D8" s="4" t="s">
        <v>16</v>
      </c>
      <c r="E8" s="3"/>
    </row>
    <row r="9" spans="1:5" ht="15" x14ac:dyDescent="0.25">
      <c r="A9" s="3" t="s">
        <v>17</v>
      </c>
      <c r="B9" s="3"/>
      <c r="C9" s="4">
        <v>2</v>
      </c>
      <c r="D9" s="4" t="s">
        <v>18</v>
      </c>
      <c r="E9" s="3"/>
    </row>
    <row r="10" spans="1:5" ht="15" x14ac:dyDescent="0.25">
      <c r="A10" s="3" t="s">
        <v>19</v>
      </c>
      <c r="B10" s="3" t="s">
        <v>20</v>
      </c>
      <c r="C10" s="4">
        <v>240</v>
      </c>
      <c r="D10" s="4" t="s">
        <v>21</v>
      </c>
      <c r="E10" s="3"/>
    </row>
    <row r="11" spans="1:5" ht="15" x14ac:dyDescent="0.25">
      <c r="A11" s="3" t="s">
        <v>22</v>
      </c>
      <c r="B11" s="3" t="s">
        <v>23</v>
      </c>
      <c r="C11" s="4">
        <v>120</v>
      </c>
      <c r="D11" s="4" t="s">
        <v>21</v>
      </c>
      <c r="E11" s="3"/>
    </row>
    <row r="12" spans="1:5" ht="15" x14ac:dyDescent="0.25">
      <c r="A12" s="3" t="s">
        <v>24</v>
      </c>
      <c r="B12" s="3" t="s">
        <v>25</v>
      </c>
      <c r="C12" s="4">
        <v>35</v>
      </c>
      <c r="D12" s="4" t="s">
        <v>3</v>
      </c>
      <c r="E12" s="3"/>
    </row>
    <row r="13" spans="1:5" ht="15" x14ac:dyDescent="0.25">
      <c r="A13" s="3"/>
      <c r="B13" s="3"/>
      <c r="C13" s="4"/>
      <c r="D13" s="4"/>
      <c r="E13" s="3"/>
    </row>
    <row r="14" spans="1:5" ht="15" x14ac:dyDescent="0.25">
      <c r="A14" s="3" t="s">
        <v>26</v>
      </c>
      <c r="B14" s="3" t="s">
        <v>27</v>
      </c>
      <c r="C14" s="4"/>
      <c r="D14" s="4" t="s">
        <v>21</v>
      </c>
      <c r="E14" s="3"/>
    </row>
    <row r="15" spans="1:5" ht="15" x14ac:dyDescent="0.25">
      <c r="A15" s="3"/>
      <c r="B15" s="3"/>
      <c r="C15" s="4"/>
      <c r="D15" s="4"/>
      <c r="E15" s="3"/>
    </row>
    <row r="16" spans="1:5" ht="15" x14ac:dyDescent="0.25">
      <c r="A16" s="3" t="s">
        <v>28</v>
      </c>
      <c r="B16" s="3"/>
      <c r="C16" s="4">
        <v>420</v>
      </c>
      <c r="D16" s="4" t="s">
        <v>3</v>
      </c>
      <c r="E16" s="3"/>
    </row>
    <row r="17" spans="1:5" ht="15" x14ac:dyDescent="0.25">
      <c r="A17" s="3" t="s">
        <v>29</v>
      </c>
      <c r="B17" s="3"/>
      <c r="C17" s="4">
        <v>400</v>
      </c>
      <c r="D17" s="4" t="s">
        <v>3</v>
      </c>
      <c r="E17" s="3"/>
    </row>
    <row r="20" spans="1:5" ht="15" x14ac:dyDescent="0.25">
      <c r="A20" s="135" t="s">
        <v>79</v>
      </c>
    </row>
    <row r="21" spans="1:5" ht="15" x14ac:dyDescent="0.25">
      <c r="A21" s="136" t="s">
        <v>80</v>
      </c>
    </row>
    <row r="22" spans="1:5" ht="15" x14ac:dyDescent="0.25">
      <c r="A22" s="136" t="s">
        <v>81</v>
      </c>
    </row>
    <row r="23" spans="1:5" ht="15" x14ac:dyDescent="0.25">
      <c r="A23" s="136" t="s">
        <v>82</v>
      </c>
    </row>
    <row r="24" spans="1:5" ht="15" x14ac:dyDescent="0.25">
      <c r="A24" s="136" t="s">
        <v>84</v>
      </c>
    </row>
    <row r="26" spans="1:5" ht="15" x14ac:dyDescent="0.25">
      <c r="A26" s="136" t="s">
        <v>83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D39C0-1033-4EF1-ADF8-09F5337FAFDC}">
  <sheetPr codeName="Planilha4"/>
  <dimension ref="A1:X29"/>
  <sheetViews>
    <sheetView topLeftCell="A9" zoomScaleNormal="100" workbookViewId="0">
      <selection activeCell="N5" sqref="N5"/>
    </sheetView>
  </sheetViews>
  <sheetFormatPr defaultRowHeight="14.25" x14ac:dyDescent="0.2"/>
  <cols>
    <col min="1" max="1" width="12.5" style="134" customWidth="1"/>
    <col min="2" max="2" width="10.875" style="134" bestFit="1" customWidth="1"/>
    <col min="3" max="3" width="11.25" style="134" customWidth="1"/>
    <col min="4" max="4" width="10.875" style="134" bestFit="1" customWidth="1"/>
    <col min="5" max="5" width="15.375" style="134" bestFit="1" customWidth="1"/>
    <col min="6" max="6" width="13.875" style="134" bestFit="1" customWidth="1"/>
    <col min="7" max="7" width="11.75" style="134" customWidth="1"/>
    <col min="8" max="8" width="15.5" style="134" bestFit="1" customWidth="1"/>
    <col min="9" max="9" width="13.875" style="134" bestFit="1" customWidth="1"/>
    <col min="10" max="10" width="10.5" style="134" bestFit="1" customWidth="1"/>
    <col min="11" max="11" width="4.625" style="134" customWidth="1"/>
    <col min="12" max="12" width="10.625" style="134" bestFit="1" customWidth="1"/>
    <col min="13" max="13" width="9" style="134"/>
    <col min="14" max="14" width="9.875" style="134" bestFit="1" customWidth="1"/>
    <col min="15" max="15" width="9" style="134"/>
    <col min="16" max="16" width="9.875" style="134" bestFit="1" customWidth="1"/>
    <col min="17" max="17" width="9.875" style="134" customWidth="1"/>
    <col min="18" max="16384" width="9" style="134"/>
  </cols>
  <sheetData>
    <row r="1" spans="1:13" ht="36" thickBot="1" x14ac:dyDescent="0.25">
      <c r="A1" s="258" t="s">
        <v>91</v>
      </c>
      <c r="B1" s="258"/>
      <c r="C1" s="258"/>
      <c r="D1" s="258"/>
      <c r="E1" s="258"/>
      <c r="F1" s="258"/>
      <c r="G1" s="160" t="s">
        <v>92</v>
      </c>
      <c r="H1" s="157">
        <v>1.2</v>
      </c>
      <c r="I1" s="158">
        <v>3.5</v>
      </c>
      <c r="J1" s="159"/>
      <c r="K1" s="159"/>
    </row>
    <row r="2" spans="1:13" s="138" customFormat="1" ht="24" thickBot="1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68"/>
      <c r="L2" s="140"/>
      <c r="M2" s="140"/>
    </row>
    <row r="3" spans="1:13" ht="21" thickBot="1" x14ac:dyDescent="0.25">
      <c r="A3" s="141" t="s">
        <v>96</v>
      </c>
      <c r="B3" s="255" t="s">
        <v>99</v>
      </c>
      <c r="C3" s="148">
        <v>12</v>
      </c>
      <c r="D3" s="9"/>
      <c r="F3" s="9"/>
      <c r="H3" s="9"/>
      <c r="I3" s="9"/>
      <c r="J3" s="9"/>
      <c r="K3" s="103"/>
      <c r="L3" s="9"/>
      <c r="M3" s="9"/>
    </row>
    <row r="4" spans="1:13" ht="21" thickBot="1" x14ac:dyDescent="0.25">
      <c r="A4" s="142" t="s">
        <v>95</v>
      </c>
      <c r="B4" s="256"/>
      <c r="C4" s="148">
        <v>12</v>
      </c>
      <c r="D4" s="9"/>
      <c r="E4" s="265">
        <f>C7*H1</f>
        <v>57.599999999999994</v>
      </c>
      <c r="F4" s="266">
        <f>SUM('Preço stock'!F36*Calculadora!C3,'Preço stock'!F37*Calculadora!C4,'Preço stock'!F38*Calculadora!C5,'Preço stock'!F39*Calculadora!C6)</f>
        <v>21.696977142857147</v>
      </c>
      <c r="H4" s="9"/>
      <c r="I4" s="9"/>
      <c r="J4" s="9"/>
      <c r="K4" s="103"/>
      <c r="L4" s="9"/>
      <c r="M4" s="9"/>
    </row>
    <row r="5" spans="1:13" ht="21" thickBot="1" x14ac:dyDescent="0.25">
      <c r="A5" s="143" t="s">
        <v>93</v>
      </c>
      <c r="B5" s="256"/>
      <c r="C5" s="148">
        <v>12</v>
      </c>
      <c r="D5" s="9"/>
      <c r="E5" s="265"/>
      <c r="F5" s="267"/>
      <c r="G5" s="9"/>
      <c r="H5" s="9"/>
      <c r="I5" s="9"/>
      <c r="J5" s="9"/>
      <c r="K5" s="103"/>
      <c r="L5" s="9"/>
      <c r="M5" s="9"/>
    </row>
    <row r="6" spans="1:13" ht="21" thickBot="1" x14ac:dyDescent="0.25">
      <c r="A6" s="144" t="s">
        <v>94</v>
      </c>
      <c r="B6" s="257"/>
      <c r="C6" s="148">
        <v>12</v>
      </c>
      <c r="D6" s="9"/>
      <c r="E6" s="139" t="s">
        <v>98</v>
      </c>
      <c r="F6" s="139" t="s">
        <v>98</v>
      </c>
      <c r="G6" s="161"/>
      <c r="H6" s="9"/>
      <c r="I6" s="9"/>
      <c r="J6" s="9"/>
      <c r="K6" s="103"/>
      <c r="L6" s="9"/>
      <c r="M6" s="9"/>
    </row>
    <row r="7" spans="1:13" ht="20.25" customHeight="1" x14ac:dyDescent="0.2">
      <c r="A7" s="139"/>
      <c r="C7" s="131">
        <f>SUM(C3:C6)</f>
        <v>48</v>
      </c>
      <c r="D7" s="9"/>
      <c r="E7" s="268">
        <f>E4+E11</f>
        <v>117.1</v>
      </c>
      <c r="F7" s="270">
        <f>F4+F11</f>
        <v>38.602235403726709</v>
      </c>
      <c r="H7" s="259">
        <f>E7-F7</f>
        <v>78.497764596273285</v>
      </c>
      <c r="I7" s="260"/>
      <c r="J7" s="9"/>
      <c r="K7" s="103"/>
      <c r="L7" s="9"/>
      <c r="M7" s="9"/>
    </row>
    <row r="8" spans="1:13" ht="21" customHeight="1" thickBot="1" x14ac:dyDescent="0.25">
      <c r="A8" s="139"/>
      <c r="C8" s="9"/>
      <c r="D8" s="9"/>
      <c r="E8" s="269"/>
      <c r="F8" s="271"/>
      <c r="G8" s="9" t="s">
        <v>100</v>
      </c>
      <c r="H8" s="261"/>
      <c r="I8" s="262"/>
      <c r="J8" s="9"/>
      <c r="K8" s="103"/>
      <c r="L8" s="9"/>
      <c r="M8" s="9"/>
    </row>
    <row r="9" spans="1:13" ht="21" customHeight="1" thickBot="1" x14ac:dyDescent="0.25">
      <c r="A9" s="141" t="s">
        <v>96</v>
      </c>
      <c r="B9" s="272" t="s">
        <v>85</v>
      </c>
      <c r="C9" s="147">
        <v>5</v>
      </c>
      <c r="D9" s="9"/>
      <c r="E9" s="269"/>
      <c r="F9" s="271"/>
      <c r="G9" s="161"/>
      <c r="H9" s="263"/>
      <c r="I9" s="264"/>
      <c r="J9" s="9"/>
      <c r="K9" s="103"/>
      <c r="L9" s="9"/>
      <c r="M9" s="9"/>
    </row>
    <row r="10" spans="1:13" ht="21" thickBot="1" x14ac:dyDescent="0.25">
      <c r="A10" s="142" t="s">
        <v>95</v>
      </c>
      <c r="B10" s="273"/>
      <c r="C10" s="147">
        <v>5</v>
      </c>
      <c r="D10" s="9"/>
      <c r="E10" s="139" t="s">
        <v>97</v>
      </c>
      <c r="F10" s="139" t="s">
        <v>97</v>
      </c>
      <c r="H10" s="9"/>
      <c r="J10" s="9"/>
      <c r="K10" s="103"/>
      <c r="L10" s="9"/>
      <c r="M10" s="9"/>
    </row>
    <row r="11" spans="1:13" ht="21" thickBot="1" x14ac:dyDescent="0.25">
      <c r="A11" s="143" t="s">
        <v>93</v>
      </c>
      <c r="B11" s="273"/>
      <c r="C11" s="147">
        <v>5</v>
      </c>
      <c r="D11" s="9"/>
      <c r="E11" s="265">
        <f>C13*I1</f>
        <v>59.5</v>
      </c>
      <c r="F11" s="266">
        <f>SUM('Preço stock'!H36*Calculadora!C9,'Preço stock'!H37*Calculadora!C10,'Preço stock'!H38*Calculadora!C11,'Preço stock'!H39*Calculadora!C12)</f>
        <v>16.905258260869566</v>
      </c>
      <c r="H11" s="9"/>
      <c r="J11" s="9"/>
      <c r="K11" s="103"/>
      <c r="L11" s="9"/>
      <c r="M11" s="9"/>
    </row>
    <row r="12" spans="1:13" ht="21" thickBot="1" x14ac:dyDescent="0.25">
      <c r="A12" s="144" t="s">
        <v>94</v>
      </c>
      <c r="B12" s="274"/>
      <c r="C12" s="147">
        <v>2</v>
      </c>
      <c r="D12" s="9"/>
      <c r="E12" s="265"/>
      <c r="F12" s="267"/>
      <c r="G12" s="9"/>
      <c r="H12" s="9"/>
      <c r="I12" s="9"/>
      <c r="J12" s="9"/>
      <c r="K12" s="103"/>
      <c r="L12" s="9"/>
      <c r="M12" s="9"/>
    </row>
    <row r="13" spans="1:13" ht="20.25" x14ac:dyDescent="0.2">
      <c r="A13" s="9"/>
      <c r="C13" s="131">
        <f>SUM(C9:C12)</f>
        <v>17</v>
      </c>
      <c r="D13" s="9"/>
      <c r="F13" s="9"/>
      <c r="G13" s="9"/>
      <c r="H13" s="9"/>
      <c r="I13" s="9"/>
      <c r="J13" s="9"/>
      <c r="K13" s="103"/>
      <c r="L13" s="9"/>
      <c r="M13" s="9"/>
    </row>
    <row r="14" spans="1:13" x14ac:dyDescent="0.2">
      <c r="K14" s="159"/>
    </row>
    <row r="15" spans="1:13" s="159" customFormat="1" x14ac:dyDescent="0.2"/>
    <row r="16" spans="1:13" ht="15" thickBot="1" x14ac:dyDescent="0.25"/>
    <row r="17" spans="1:24" ht="23.25" x14ac:dyDescent="0.2">
      <c r="A17" s="137"/>
      <c r="B17" s="252" t="s">
        <v>86</v>
      </c>
      <c r="C17" s="253"/>
      <c r="D17" s="253"/>
      <c r="E17" s="254"/>
      <c r="G17" s="252" t="s">
        <v>87</v>
      </c>
      <c r="H17" s="253"/>
      <c r="I17" s="253"/>
      <c r="J17" s="254"/>
      <c r="L17" s="252" t="s">
        <v>88</v>
      </c>
      <c r="M17" s="253"/>
      <c r="N17" s="254"/>
      <c r="P17" s="252" t="s">
        <v>89</v>
      </c>
      <c r="Q17" s="253"/>
      <c r="R17" s="253"/>
      <c r="S17" s="254"/>
      <c r="U17" s="252" t="s">
        <v>101</v>
      </c>
      <c r="V17" s="253"/>
      <c r="W17" s="253"/>
      <c r="X17" s="254"/>
    </row>
    <row r="18" spans="1:24" ht="24" thickBot="1" x14ac:dyDescent="0.25">
      <c r="A18" s="138"/>
      <c r="B18" s="151">
        <v>14</v>
      </c>
      <c r="C18" s="152">
        <v>18</v>
      </c>
      <c r="D18" s="152">
        <v>21</v>
      </c>
      <c r="E18" s="153" t="s">
        <v>90</v>
      </c>
      <c r="F18" s="138"/>
      <c r="G18" s="151">
        <v>2</v>
      </c>
      <c r="H18" s="152">
        <v>11</v>
      </c>
      <c r="I18" s="152">
        <v>19</v>
      </c>
      <c r="J18" s="154" t="s">
        <v>90</v>
      </c>
      <c r="K18" s="138"/>
      <c r="L18" s="151">
        <v>10</v>
      </c>
      <c r="M18" s="152">
        <v>28</v>
      </c>
      <c r="N18" s="154" t="s">
        <v>90</v>
      </c>
      <c r="O18" s="138"/>
      <c r="P18" s="155">
        <v>1</v>
      </c>
      <c r="Q18" s="156">
        <v>13</v>
      </c>
      <c r="R18" s="156">
        <v>20</v>
      </c>
      <c r="S18" s="154" t="s">
        <v>90</v>
      </c>
      <c r="U18" s="155">
        <v>2</v>
      </c>
      <c r="V18" s="156">
        <v>16</v>
      </c>
      <c r="W18" s="156">
        <v>0</v>
      </c>
      <c r="X18" s="154" t="s">
        <v>90</v>
      </c>
    </row>
    <row r="19" spans="1:24" ht="21" thickBot="1" x14ac:dyDescent="0.25">
      <c r="A19" s="141" t="s">
        <v>96</v>
      </c>
      <c r="B19" s="148">
        <v>14</v>
      </c>
      <c r="C19" s="148">
        <v>12</v>
      </c>
      <c r="D19" s="148">
        <v>15</v>
      </c>
      <c r="E19" s="150">
        <f>SUM(B19:D19)</f>
        <v>41</v>
      </c>
      <c r="G19" s="148">
        <v>35</v>
      </c>
      <c r="H19" s="148">
        <v>10</v>
      </c>
      <c r="I19" s="148">
        <v>10</v>
      </c>
      <c r="J19" s="150">
        <f>SUM(G19:I19)</f>
        <v>55</v>
      </c>
      <c r="L19" s="148">
        <v>15</v>
      </c>
      <c r="M19" s="148">
        <v>10</v>
      </c>
      <c r="N19" s="150">
        <f>SUM(L19:M19)</f>
        <v>25</v>
      </c>
      <c r="P19" s="148">
        <v>15</v>
      </c>
      <c r="Q19" s="148">
        <v>15</v>
      </c>
      <c r="R19" s="148">
        <v>10</v>
      </c>
      <c r="S19" s="150">
        <f>SUM(P19:R19)</f>
        <v>40</v>
      </c>
      <c r="U19" s="148">
        <v>12</v>
      </c>
      <c r="V19" s="148">
        <v>12</v>
      </c>
      <c r="W19" s="148">
        <v>0</v>
      </c>
      <c r="X19" s="150">
        <f>SUM(U19:W19)</f>
        <v>24</v>
      </c>
    </row>
    <row r="20" spans="1:24" ht="21" thickBot="1" x14ac:dyDescent="0.25">
      <c r="A20" s="142" t="s">
        <v>95</v>
      </c>
      <c r="B20" s="148">
        <v>16</v>
      </c>
      <c r="C20" s="148">
        <v>14</v>
      </c>
      <c r="D20" s="148">
        <v>15</v>
      </c>
      <c r="E20" s="150">
        <f t="shared" ref="E20:E29" si="0">SUM(B20:D20)</f>
        <v>45</v>
      </c>
      <c r="G20" s="148">
        <v>15</v>
      </c>
      <c r="H20" s="148">
        <v>15</v>
      </c>
      <c r="I20" s="148">
        <v>25</v>
      </c>
      <c r="J20" s="150">
        <f>SUM(G20:I20)</f>
        <v>55</v>
      </c>
      <c r="L20" s="148">
        <v>15</v>
      </c>
      <c r="M20" s="148">
        <v>32</v>
      </c>
      <c r="N20" s="150">
        <f>SUM(K20:M20)</f>
        <v>47</v>
      </c>
      <c r="P20" s="148">
        <v>15</v>
      </c>
      <c r="Q20" s="148">
        <v>15</v>
      </c>
      <c r="R20" s="148">
        <v>10</v>
      </c>
      <c r="S20" s="150">
        <f>SUM(P20:R20)</f>
        <v>40</v>
      </c>
      <c r="U20" s="148">
        <v>12</v>
      </c>
      <c r="V20" s="148">
        <v>10</v>
      </c>
      <c r="W20" s="148">
        <v>0</v>
      </c>
      <c r="X20" s="150">
        <f>SUM(U20:W20)</f>
        <v>22</v>
      </c>
    </row>
    <row r="21" spans="1:24" ht="21" thickBot="1" x14ac:dyDescent="0.25">
      <c r="A21" s="143" t="s">
        <v>93</v>
      </c>
      <c r="B21" s="148">
        <v>10</v>
      </c>
      <c r="C21" s="148">
        <v>12</v>
      </c>
      <c r="D21" s="148">
        <v>15</v>
      </c>
      <c r="E21" s="150">
        <f t="shared" si="0"/>
        <v>37</v>
      </c>
      <c r="G21" s="148">
        <v>15</v>
      </c>
      <c r="H21" s="148">
        <v>15</v>
      </c>
      <c r="I21" s="148">
        <v>25</v>
      </c>
      <c r="J21" s="150">
        <f>SUM(G21:I21)</f>
        <v>55</v>
      </c>
      <c r="L21" s="148">
        <v>15</v>
      </c>
      <c r="M21" s="148">
        <v>32</v>
      </c>
      <c r="N21" s="150">
        <f>SUM(K21:M21)</f>
        <v>47</v>
      </c>
      <c r="P21" s="148">
        <v>15</v>
      </c>
      <c r="Q21" s="148">
        <v>15</v>
      </c>
      <c r="R21" s="148">
        <v>10</v>
      </c>
      <c r="S21" s="150">
        <f>SUM(P21:R21)</f>
        <v>40</v>
      </c>
      <c r="U21" s="148">
        <v>12</v>
      </c>
      <c r="V21" s="148">
        <v>12</v>
      </c>
      <c r="W21" s="148">
        <v>0</v>
      </c>
      <c r="X21" s="150">
        <f>SUM(U21:W21)</f>
        <v>24</v>
      </c>
    </row>
    <row r="22" spans="1:24" ht="21" thickBot="1" x14ac:dyDescent="0.25">
      <c r="A22" s="144" t="s">
        <v>94</v>
      </c>
      <c r="B22" s="148">
        <v>10</v>
      </c>
      <c r="C22" s="148">
        <v>14</v>
      </c>
      <c r="D22" s="148">
        <v>15</v>
      </c>
      <c r="E22" s="150">
        <f t="shared" si="0"/>
        <v>39</v>
      </c>
      <c r="G22" s="148">
        <v>10</v>
      </c>
      <c r="H22" s="148">
        <v>10</v>
      </c>
      <c r="I22" s="148">
        <v>10</v>
      </c>
      <c r="J22" s="150">
        <f>SUM(G22:I22)</f>
        <v>30</v>
      </c>
      <c r="L22" s="148">
        <v>15</v>
      </c>
      <c r="M22" s="148">
        <v>10</v>
      </c>
      <c r="N22" s="150">
        <f>SUM(K22:M22)</f>
        <v>25</v>
      </c>
      <c r="P22" s="148">
        <v>0</v>
      </c>
      <c r="Q22" s="148">
        <v>0</v>
      </c>
      <c r="R22" s="148">
        <v>10</v>
      </c>
      <c r="S22" s="150">
        <f>SUM(P22:R22)</f>
        <v>10</v>
      </c>
      <c r="U22" s="148">
        <v>12</v>
      </c>
      <c r="V22" s="148">
        <v>12</v>
      </c>
      <c r="W22" s="148">
        <v>0</v>
      </c>
      <c r="X22" s="150">
        <f>SUM(U22:W22)</f>
        <v>24</v>
      </c>
    </row>
    <row r="23" spans="1:24" ht="20.25" x14ac:dyDescent="0.2">
      <c r="B23" s="131">
        <f>SUM(B19:B22)</f>
        <v>50</v>
      </c>
      <c r="C23" s="131">
        <f>SUM(C19:C22)</f>
        <v>52</v>
      </c>
      <c r="D23" s="131">
        <f>SUM(D19:D22)</f>
        <v>60</v>
      </c>
      <c r="E23" s="146">
        <f t="shared" si="0"/>
        <v>162</v>
      </c>
      <c r="G23" s="131">
        <f>SUM(G19:G22)</f>
        <v>75</v>
      </c>
      <c r="H23" s="131">
        <f>SUM(H19:H22)</f>
        <v>50</v>
      </c>
      <c r="I23" s="131">
        <f>SUM(I19:I22)</f>
        <v>70</v>
      </c>
      <c r="J23" s="146">
        <f>SUM(G23:I23)</f>
        <v>195</v>
      </c>
      <c r="L23" s="131">
        <f>SUM(L19:L22)</f>
        <v>60</v>
      </c>
      <c r="M23" s="131">
        <f>SUM(M19:M22)</f>
        <v>84</v>
      </c>
      <c r="N23" s="146">
        <f>SUM(L23:M23)</f>
        <v>144</v>
      </c>
      <c r="P23" s="131">
        <f>SUM(P19:P22)</f>
        <v>45</v>
      </c>
      <c r="Q23" s="131">
        <f>SUM(Q19:Q22)</f>
        <v>45</v>
      </c>
      <c r="R23" s="131">
        <f>SUM(R19:R22)</f>
        <v>40</v>
      </c>
      <c r="S23" s="146">
        <f>SUM(P23:R23)</f>
        <v>130</v>
      </c>
      <c r="U23" s="131">
        <f>SUM(U19:U22)</f>
        <v>48</v>
      </c>
      <c r="V23" s="131">
        <v>48</v>
      </c>
      <c r="W23" s="131">
        <f>SUM(W19:W22)</f>
        <v>0</v>
      </c>
      <c r="X23" s="146">
        <f>SUM(U23:W23)</f>
        <v>96</v>
      </c>
    </row>
    <row r="24" spans="1:24" ht="21" thickBot="1" x14ac:dyDescent="0.25">
      <c r="E24" s="145"/>
      <c r="J24" s="145"/>
      <c r="N24" s="145"/>
      <c r="P24" s="9"/>
      <c r="Q24" s="9"/>
      <c r="R24" s="9"/>
      <c r="S24" s="145"/>
      <c r="U24" s="9"/>
      <c r="V24" s="9"/>
      <c r="W24" s="9"/>
      <c r="X24" s="145"/>
    </row>
    <row r="25" spans="1:24" ht="21" thickBot="1" x14ac:dyDescent="0.25">
      <c r="A25" s="141" t="s">
        <v>96</v>
      </c>
      <c r="B25" s="147">
        <v>5</v>
      </c>
      <c r="C25" s="147">
        <v>5</v>
      </c>
      <c r="D25" s="147">
        <v>5</v>
      </c>
      <c r="E25" s="149">
        <f t="shared" si="0"/>
        <v>15</v>
      </c>
      <c r="G25" s="147">
        <v>5</v>
      </c>
      <c r="H25" s="147">
        <v>5</v>
      </c>
      <c r="I25" s="147">
        <v>0</v>
      </c>
      <c r="J25" s="149">
        <f>SUM(G25:I25)</f>
        <v>10</v>
      </c>
      <c r="L25" s="147">
        <v>5</v>
      </c>
      <c r="M25" s="147">
        <v>5</v>
      </c>
      <c r="N25" s="149">
        <f>SUM(L25:M25)</f>
        <v>10</v>
      </c>
      <c r="P25" s="147">
        <v>5</v>
      </c>
      <c r="Q25" s="147">
        <v>5</v>
      </c>
      <c r="R25" s="147">
        <v>0</v>
      </c>
      <c r="S25" s="149">
        <f>SUM(P25:R25)</f>
        <v>10</v>
      </c>
      <c r="U25" s="147">
        <v>5</v>
      </c>
      <c r="V25" s="147">
        <v>5</v>
      </c>
      <c r="W25" s="147">
        <v>0</v>
      </c>
      <c r="X25" s="149">
        <f>SUM(U25:W25)</f>
        <v>10</v>
      </c>
    </row>
    <row r="26" spans="1:24" ht="21" thickBot="1" x14ac:dyDescent="0.25">
      <c r="A26" s="142" t="s">
        <v>95</v>
      </c>
      <c r="B26" s="147">
        <v>7</v>
      </c>
      <c r="C26" s="147">
        <v>12</v>
      </c>
      <c r="D26" s="147">
        <v>10</v>
      </c>
      <c r="E26" s="149">
        <f t="shared" si="0"/>
        <v>29</v>
      </c>
      <c r="G26" s="147">
        <v>10</v>
      </c>
      <c r="H26" s="147">
        <v>10</v>
      </c>
      <c r="I26" s="147">
        <v>0</v>
      </c>
      <c r="J26" s="149">
        <f>SUM(G26:I26)</f>
        <v>20</v>
      </c>
      <c r="L26" s="147">
        <v>7</v>
      </c>
      <c r="M26" s="147">
        <v>5</v>
      </c>
      <c r="N26" s="149">
        <f>SUM(L26:M26)</f>
        <v>12</v>
      </c>
      <c r="P26" s="147">
        <v>5</v>
      </c>
      <c r="Q26" s="147">
        <v>5</v>
      </c>
      <c r="R26" s="147">
        <v>0</v>
      </c>
      <c r="S26" s="149">
        <f>SUM(P26:R26)</f>
        <v>10</v>
      </c>
      <c r="U26" s="147">
        <v>5</v>
      </c>
      <c r="V26" s="147">
        <v>5</v>
      </c>
      <c r="W26" s="147">
        <v>0</v>
      </c>
      <c r="X26" s="149">
        <f>SUM(U26:W26)</f>
        <v>10</v>
      </c>
    </row>
    <row r="27" spans="1:24" ht="21" thickBot="1" x14ac:dyDescent="0.25">
      <c r="A27" s="143" t="s">
        <v>93</v>
      </c>
      <c r="B27" s="147">
        <v>5</v>
      </c>
      <c r="C27" s="147">
        <v>5</v>
      </c>
      <c r="D27" s="147">
        <v>5</v>
      </c>
      <c r="E27" s="149">
        <f t="shared" si="0"/>
        <v>15</v>
      </c>
      <c r="G27" s="147">
        <v>5</v>
      </c>
      <c r="H27" s="147">
        <v>5</v>
      </c>
      <c r="I27" s="147">
        <v>0</v>
      </c>
      <c r="J27" s="149">
        <f>SUM(G27:I27)</f>
        <v>10</v>
      </c>
      <c r="L27" s="147">
        <v>5</v>
      </c>
      <c r="M27" s="147">
        <v>5</v>
      </c>
      <c r="N27" s="149">
        <f>SUM(L27:M27)</f>
        <v>10</v>
      </c>
      <c r="P27" s="147">
        <v>5</v>
      </c>
      <c r="Q27" s="147">
        <v>5</v>
      </c>
      <c r="R27" s="147">
        <v>0</v>
      </c>
      <c r="S27" s="149">
        <f>SUM(P27:R27)</f>
        <v>10</v>
      </c>
      <c r="U27" s="147">
        <v>5</v>
      </c>
      <c r="V27" s="147">
        <v>5</v>
      </c>
      <c r="W27" s="147">
        <v>0</v>
      </c>
      <c r="X27" s="149">
        <f>SUM(U27:W27)</f>
        <v>10</v>
      </c>
    </row>
    <row r="28" spans="1:24" ht="21" thickBot="1" x14ac:dyDescent="0.25">
      <c r="A28" s="144" t="s">
        <v>94</v>
      </c>
      <c r="B28" s="147">
        <v>5</v>
      </c>
      <c r="C28" s="147">
        <v>6</v>
      </c>
      <c r="D28" s="147">
        <v>5</v>
      </c>
      <c r="E28" s="149">
        <f t="shared" si="0"/>
        <v>16</v>
      </c>
      <c r="G28" s="147">
        <v>0</v>
      </c>
      <c r="H28" s="147">
        <v>0</v>
      </c>
      <c r="I28" s="147">
        <v>0</v>
      </c>
      <c r="J28" s="149">
        <f>SUM(G28:I28)</f>
        <v>0</v>
      </c>
      <c r="L28" s="147">
        <v>0</v>
      </c>
      <c r="M28" s="147">
        <v>0</v>
      </c>
      <c r="N28" s="149">
        <f>SUM(L28:M28)</f>
        <v>0</v>
      </c>
      <c r="P28" s="147">
        <v>0</v>
      </c>
      <c r="Q28" s="147">
        <v>0</v>
      </c>
      <c r="R28" s="147">
        <v>0</v>
      </c>
      <c r="S28" s="149">
        <f>SUM(P28:R28)</f>
        <v>0</v>
      </c>
      <c r="U28" s="147">
        <v>2</v>
      </c>
      <c r="V28" s="147">
        <v>2</v>
      </c>
      <c r="W28" s="147">
        <v>0</v>
      </c>
      <c r="X28" s="149">
        <f>SUM(U28:W28)</f>
        <v>4</v>
      </c>
    </row>
    <row r="29" spans="1:24" ht="20.25" x14ac:dyDescent="0.2">
      <c r="B29" s="131">
        <f>SUM(B25:B28)</f>
        <v>22</v>
      </c>
      <c r="C29" s="131">
        <f>SUM(C25:C28)</f>
        <v>28</v>
      </c>
      <c r="D29" s="131">
        <f>SUM(D25:D28)</f>
        <v>25</v>
      </c>
      <c r="E29" s="146">
        <f t="shared" si="0"/>
        <v>75</v>
      </c>
      <c r="G29" s="131">
        <f>SUM(G25:G28)</f>
        <v>20</v>
      </c>
      <c r="H29" s="131">
        <f>SUM(H25:H28)</f>
        <v>20</v>
      </c>
      <c r="I29" s="131">
        <f>SUM(I25:I28)</f>
        <v>0</v>
      </c>
      <c r="J29" s="146">
        <f>SUM(G29:I29)</f>
        <v>40</v>
      </c>
      <c r="L29" s="131">
        <f>SUM(L25:L28)</f>
        <v>17</v>
      </c>
      <c r="M29" s="131">
        <f>SUM(M25:M28)</f>
        <v>15</v>
      </c>
      <c r="N29" s="146">
        <f>SUM(L29:M29)</f>
        <v>32</v>
      </c>
      <c r="P29" s="131">
        <f>SUM(P25:P28)</f>
        <v>15</v>
      </c>
      <c r="Q29" s="131">
        <f>SUM(Q25:Q28)</f>
        <v>15</v>
      </c>
      <c r="R29" s="131">
        <f>SUM(R25:R28)</f>
        <v>0</v>
      </c>
      <c r="S29" s="146">
        <f>SUM(P29:R29)</f>
        <v>30</v>
      </c>
      <c r="U29" s="131">
        <f>SUM(U25:U28)</f>
        <v>17</v>
      </c>
      <c r="V29" s="131">
        <f>SUM(V25:V28)</f>
        <v>17</v>
      </c>
      <c r="W29" s="131">
        <f>SUM(W25:W28)</f>
        <v>0</v>
      </c>
      <c r="X29" s="146">
        <f>SUM(U29:W29)</f>
        <v>34</v>
      </c>
    </row>
  </sheetData>
  <mergeCells count="15">
    <mergeCell ref="U17:X17"/>
    <mergeCell ref="B3:B6"/>
    <mergeCell ref="A1:F1"/>
    <mergeCell ref="H7:I9"/>
    <mergeCell ref="E4:E5"/>
    <mergeCell ref="E11:E12"/>
    <mergeCell ref="F4:F5"/>
    <mergeCell ref="F11:F12"/>
    <mergeCell ref="E7:E9"/>
    <mergeCell ref="F7:F9"/>
    <mergeCell ref="P17:S17"/>
    <mergeCell ref="G17:J17"/>
    <mergeCell ref="B17:E17"/>
    <mergeCell ref="L17:N17"/>
    <mergeCell ref="B9:B12"/>
  </mergeCells>
  <phoneticPr fontId="20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1721A-BF1D-4981-8763-C019B9BF2726}">
  <sheetPr codeName="Planilha8"/>
  <dimension ref="A1:E13"/>
  <sheetViews>
    <sheetView workbookViewId="0">
      <selection activeCell="E11" sqref="E11"/>
    </sheetView>
  </sheetViews>
  <sheetFormatPr defaultColWidth="0" defaultRowHeight="18" x14ac:dyDescent="0.2"/>
  <cols>
    <col min="1" max="1" width="20.625" style="139" customWidth="1"/>
    <col min="2" max="2" width="20.625" style="193" customWidth="1"/>
    <col min="3" max="3" width="18.5" style="139" customWidth="1"/>
    <col min="4" max="4" width="11.625" style="139" customWidth="1"/>
    <col min="5" max="5" width="16" style="139" bestFit="1" customWidth="1"/>
    <col min="6" max="16384" width="9" style="139" hidden="1"/>
  </cols>
  <sheetData>
    <row r="1" spans="1:5" x14ac:dyDescent="0.2">
      <c r="A1" s="139" t="s">
        <v>115</v>
      </c>
      <c r="B1" s="193" t="s">
        <v>128</v>
      </c>
      <c r="C1" s="139" t="s">
        <v>117</v>
      </c>
      <c r="D1" s="139" t="s">
        <v>118</v>
      </c>
      <c r="E1" s="139" t="s">
        <v>119</v>
      </c>
    </row>
    <row r="2" spans="1:5" x14ac:dyDescent="0.2">
      <c r="A2" s="139" t="s">
        <v>129</v>
      </c>
      <c r="C2" s="182"/>
      <c r="D2" s="139">
        <f>COUNTIF(Vendas!B:B,A2)</f>
        <v>0</v>
      </c>
      <c r="E2" s="185">
        <f>SUMIF(Vendas!B:B,Clientes!A2,Vendas!O:O)</f>
        <v>0</v>
      </c>
    </row>
    <row r="3" spans="1:5" x14ac:dyDescent="0.2">
      <c r="A3" s="139" t="s">
        <v>110</v>
      </c>
      <c r="B3" s="194">
        <v>983435551</v>
      </c>
      <c r="C3" s="182">
        <v>43752</v>
      </c>
      <c r="D3" s="139">
        <f>COUNTIF(Vendas!B:B,A3)</f>
        <v>13</v>
      </c>
      <c r="E3" s="185">
        <f>SUMIF(Vendas!B:B,Clientes!A3,Vendas!O:O)</f>
        <v>1608.5</v>
      </c>
    </row>
    <row r="4" spans="1:5" x14ac:dyDescent="0.2">
      <c r="A4" s="139" t="s">
        <v>125</v>
      </c>
      <c r="C4" s="182"/>
      <c r="D4" s="139">
        <f>COUNTIF(Vendas!B:B,A4)</f>
        <v>0</v>
      </c>
      <c r="E4" s="185">
        <f>SUMIF(Vendas!B:B,Clientes!A4,Vendas!O:O)</f>
        <v>0</v>
      </c>
    </row>
    <row r="5" spans="1:5" x14ac:dyDescent="0.2">
      <c r="A5" s="139" t="s">
        <v>126</v>
      </c>
      <c r="C5" s="182"/>
      <c r="D5" s="139">
        <f>COUNTIF(Vendas!B:B,A5)</f>
        <v>0</v>
      </c>
      <c r="E5" s="185">
        <f>SUMIF(Vendas!B:B,Clientes!A5,Vendas!O:O)</f>
        <v>0</v>
      </c>
    </row>
    <row r="6" spans="1:5" x14ac:dyDescent="0.2">
      <c r="A6" s="139" t="s">
        <v>127</v>
      </c>
      <c r="C6" s="182"/>
      <c r="D6" s="139">
        <f>COUNTIF(Vendas!B:B,A6)</f>
        <v>0</v>
      </c>
      <c r="E6" s="185">
        <f>SUMIF(Vendas!B:B,Clientes!A6,Vendas!O:O)</f>
        <v>0</v>
      </c>
    </row>
    <row r="7" spans="1:5" x14ac:dyDescent="0.2">
      <c r="C7" s="182"/>
      <c r="E7" s="185"/>
    </row>
    <row r="8" spans="1:5" x14ac:dyDescent="0.2">
      <c r="C8" s="182"/>
      <c r="E8" s="185"/>
    </row>
    <row r="9" spans="1:5" x14ac:dyDescent="0.2">
      <c r="C9" s="182"/>
      <c r="E9" s="185"/>
    </row>
    <row r="10" spans="1:5" x14ac:dyDescent="0.2">
      <c r="C10" s="182"/>
      <c r="E10" s="185"/>
    </row>
    <row r="11" spans="1:5" x14ac:dyDescent="0.2">
      <c r="C11" s="182"/>
      <c r="E11" s="185"/>
    </row>
    <row r="12" spans="1:5" x14ac:dyDescent="0.2">
      <c r="C12" s="182"/>
      <c r="E12" s="185"/>
    </row>
    <row r="13" spans="1:5" x14ac:dyDescent="0.2">
      <c r="C13" s="182"/>
      <c r="E13" s="185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C625F-907D-4164-A69A-49EA4063C89D}">
  <sheetPr codeName="Planilha7"/>
  <dimension ref="A1:T27"/>
  <sheetViews>
    <sheetView topLeftCell="A5" workbookViewId="0">
      <selection activeCell="I20" sqref="I20"/>
    </sheetView>
  </sheetViews>
  <sheetFormatPr defaultColWidth="0" defaultRowHeight="15" x14ac:dyDescent="0.2"/>
  <cols>
    <col min="1" max="1" width="11.125" style="187" bestFit="1" customWidth="1"/>
    <col min="2" max="3" width="9.875" style="187" customWidth="1"/>
    <col min="4" max="6" width="9.125" style="187" bestFit="1" customWidth="1"/>
    <col min="7" max="7" width="9.125" style="187" customWidth="1"/>
    <col min="8" max="8" width="9.25" style="187" bestFit="1" customWidth="1"/>
    <col min="9" max="9" width="11.625" style="187" bestFit="1" customWidth="1"/>
    <col min="10" max="10" width="9.125" style="189" bestFit="1" customWidth="1"/>
    <col min="11" max="13" width="9.125" style="187" bestFit="1" customWidth="1"/>
    <col min="14" max="14" width="9.25" style="187" bestFit="1" customWidth="1"/>
    <col min="15" max="15" width="12.375" style="187" customWidth="1"/>
    <col min="16" max="16" width="0" style="189" hidden="1" customWidth="1"/>
    <col min="17" max="19" width="0" style="187" hidden="1" customWidth="1"/>
    <col min="20" max="20" width="0" style="187" hidden="1"/>
    <col min="21" max="16384" width="9" style="187" hidden="1"/>
  </cols>
  <sheetData>
    <row r="1" spans="1:15" x14ac:dyDescent="0.2">
      <c r="A1" s="186" t="s">
        <v>108</v>
      </c>
      <c r="B1" s="186" t="s">
        <v>109</v>
      </c>
      <c r="C1" s="187" t="s">
        <v>96</v>
      </c>
      <c r="D1" s="187" t="s">
        <v>95</v>
      </c>
      <c r="E1" s="187" t="s">
        <v>93</v>
      </c>
      <c r="F1" s="187" t="s">
        <v>94</v>
      </c>
      <c r="G1" s="187" t="s">
        <v>112</v>
      </c>
      <c r="H1" s="187" t="s">
        <v>114</v>
      </c>
      <c r="I1" s="187" t="s">
        <v>120</v>
      </c>
      <c r="J1" s="188" t="s">
        <v>121</v>
      </c>
      <c r="K1" s="187" t="s">
        <v>122</v>
      </c>
      <c r="L1" s="187" t="s">
        <v>123</v>
      </c>
      <c r="M1" s="187" t="s">
        <v>111</v>
      </c>
      <c r="N1" s="187" t="s">
        <v>113</v>
      </c>
      <c r="O1" s="187" t="s">
        <v>116</v>
      </c>
    </row>
    <row r="2" spans="1:15" x14ac:dyDescent="0.2">
      <c r="A2" s="186">
        <v>43752</v>
      </c>
      <c r="B2" s="186" t="s">
        <v>110</v>
      </c>
      <c r="C2" s="190">
        <v>14</v>
      </c>
      <c r="D2" s="190">
        <v>16</v>
      </c>
      <c r="E2" s="190">
        <v>10</v>
      </c>
      <c r="F2" s="190">
        <v>10</v>
      </c>
      <c r="G2" s="190">
        <f>SUM(C2:F2)</f>
        <v>50</v>
      </c>
      <c r="H2" s="189">
        <v>1.2</v>
      </c>
      <c r="I2" s="190">
        <v>5</v>
      </c>
      <c r="J2" s="191">
        <v>7</v>
      </c>
      <c r="K2" s="190">
        <v>5</v>
      </c>
      <c r="L2" s="190">
        <v>5</v>
      </c>
      <c r="M2" s="190">
        <f>SUM(I2:L2)</f>
        <v>22</v>
      </c>
      <c r="N2" s="189">
        <v>3.5</v>
      </c>
      <c r="O2" s="189">
        <f>(N2*M2)+(H2*G2)</f>
        <v>137</v>
      </c>
    </row>
    <row r="3" spans="1:15" x14ac:dyDescent="0.2">
      <c r="A3" s="186">
        <v>43756</v>
      </c>
      <c r="B3" s="186" t="s">
        <v>110</v>
      </c>
      <c r="C3" s="190">
        <v>12</v>
      </c>
      <c r="D3" s="190">
        <v>14</v>
      </c>
      <c r="E3" s="190">
        <v>12</v>
      </c>
      <c r="F3" s="190">
        <v>14</v>
      </c>
      <c r="G3" s="190">
        <f t="shared" ref="G2:G15" si="0">SUM(C3:F3)</f>
        <v>52</v>
      </c>
      <c r="H3" s="189">
        <v>1.2</v>
      </c>
      <c r="I3" s="190">
        <v>5</v>
      </c>
      <c r="J3" s="191">
        <v>12</v>
      </c>
      <c r="K3" s="190">
        <v>5</v>
      </c>
      <c r="L3" s="190">
        <v>6</v>
      </c>
      <c r="M3" s="190">
        <f t="shared" ref="M3:M14" si="1">SUM(I3:L3)</f>
        <v>28</v>
      </c>
      <c r="N3" s="189">
        <v>3.5</v>
      </c>
      <c r="O3" s="189">
        <f t="shared" ref="O3:O19" si="2">(N3*M3)+(H3*G3)</f>
        <v>160.4</v>
      </c>
    </row>
    <row r="4" spans="1:15" x14ac:dyDescent="0.2">
      <c r="A4" s="186">
        <v>43759</v>
      </c>
      <c r="B4" s="186" t="s">
        <v>110</v>
      </c>
      <c r="C4" s="190">
        <v>15</v>
      </c>
      <c r="D4" s="190">
        <v>15</v>
      </c>
      <c r="E4" s="190">
        <v>15</v>
      </c>
      <c r="F4" s="190">
        <v>15</v>
      </c>
      <c r="G4" s="190">
        <f t="shared" si="0"/>
        <v>60</v>
      </c>
      <c r="H4" s="189">
        <v>1.2</v>
      </c>
      <c r="I4" s="190">
        <v>5</v>
      </c>
      <c r="J4" s="191">
        <v>10</v>
      </c>
      <c r="K4" s="190">
        <v>5</v>
      </c>
      <c r="L4" s="190">
        <v>5</v>
      </c>
      <c r="M4" s="190">
        <f t="shared" si="1"/>
        <v>25</v>
      </c>
      <c r="N4" s="189">
        <v>3.5</v>
      </c>
      <c r="O4" s="189">
        <f t="shared" si="2"/>
        <v>159.5</v>
      </c>
    </row>
    <row r="5" spans="1:15" x14ac:dyDescent="0.2">
      <c r="A5" s="186">
        <v>43771</v>
      </c>
      <c r="B5" s="186" t="s">
        <v>110</v>
      </c>
      <c r="C5" s="190">
        <v>35</v>
      </c>
      <c r="D5" s="190">
        <v>15</v>
      </c>
      <c r="E5" s="190">
        <v>15</v>
      </c>
      <c r="F5" s="190">
        <v>10</v>
      </c>
      <c r="G5" s="190">
        <f t="shared" si="0"/>
        <v>75</v>
      </c>
      <c r="H5" s="189">
        <v>1.2</v>
      </c>
      <c r="I5" s="190">
        <v>5</v>
      </c>
      <c r="J5" s="191">
        <v>10</v>
      </c>
      <c r="K5" s="190">
        <v>5</v>
      </c>
      <c r="L5" s="190">
        <v>0</v>
      </c>
      <c r="M5" s="190">
        <f>SUM(I5:L5)</f>
        <v>20</v>
      </c>
      <c r="N5" s="189">
        <v>3.5</v>
      </c>
      <c r="O5" s="189">
        <f t="shared" si="2"/>
        <v>160</v>
      </c>
    </row>
    <row r="6" spans="1:15" x14ac:dyDescent="0.2">
      <c r="A6" s="186">
        <v>43780</v>
      </c>
      <c r="B6" s="186" t="s">
        <v>110</v>
      </c>
      <c r="C6" s="190">
        <v>10</v>
      </c>
      <c r="D6" s="190">
        <v>15</v>
      </c>
      <c r="E6" s="190">
        <v>15</v>
      </c>
      <c r="F6" s="190">
        <v>10</v>
      </c>
      <c r="G6" s="190">
        <f t="shared" si="0"/>
        <v>50</v>
      </c>
      <c r="H6" s="189">
        <v>1.2</v>
      </c>
      <c r="I6" s="190">
        <v>5</v>
      </c>
      <c r="J6" s="191">
        <v>10</v>
      </c>
      <c r="K6" s="190">
        <v>5</v>
      </c>
      <c r="L6" s="190">
        <v>0</v>
      </c>
      <c r="M6" s="190">
        <f t="shared" si="1"/>
        <v>20</v>
      </c>
      <c r="N6" s="189">
        <v>3.5</v>
      </c>
      <c r="O6" s="189">
        <f t="shared" si="2"/>
        <v>130</v>
      </c>
    </row>
    <row r="7" spans="1:15" x14ac:dyDescent="0.2">
      <c r="A7" s="186">
        <v>43788</v>
      </c>
      <c r="B7" s="186" t="s">
        <v>110</v>
      </c>
      <c r="C7" s="190">
        <v>10</v>
      </c>
      <c r="D7" s="190">
        <v>25</v>
      </c>
      <c r="E7" s="190">
        <v>25</v>
      </c>
      <c r="F7" s="190">
        <v>10</v>
      </c>
      <c r="G7" s="190">
        <f t="shared" si="0"/>
        <v>70</v>
      </c>
      <c r="H7" s="189">
        <v>1.2</v>
      </c>
      <c r="I7" s="190">
        <v>0</v>
      </c>
      <c r="J7" s="191">
        <v>0</v>
      </c>
      <c r="K7" s="190">
        <v>0</v>
      </c>
      <c r="L7" s="190">
        <v>0</v>
      </c>
      <c r="M7" s="190">
        <f>SUM(I7:L7)</f>
        <v>0</v>
      </c>
      <c r="N7" s="189">
        <v>3.5</v>
      </c>
      <c r="O7" s="189">
        <f t="shared" si="2"/>
        <v>84</v>
      </c>
    </row>
    <row r="8" spans="1:15" x14ac:dyDescent="0.2">
      <c r="A8" s="186">
        <v>43840</v>
      </c>
      <c r="B8" s="186" t="s">
        <v>110</v>
      </c>
      <c r="C8" s="190">
        <v>15</v>
      </c>
      <c r="D8" s="190">
        <v>15</v>
      </c>
      <c r="E8" s="190">
        <v>15</v>
      </c>
      <c r="F8" s="190">
        <v>15</v>
      </c>
      <c r="G8" s="190">
        <f t="shared" si="0"/>
        <v>60</v>
      </c>
      <c r="H8" s="189">
        <v>1.2</v>
      </c>
      <c r="I8" s="190">
        <v>5</v>
      </c>
      <c r="J8" s="191">
        <v>7</v>
      </c>
      <c r="K8" s="190">
        <v>5</v>
      </c>
      <c r="L8" s="190">
        <v>0</v>
      </c>
      <c r="M8" s="190">
        <f>SUM(I8:L8)</f>
        <v>17</v>
      </c>
      <c r="N8" s="189">
        <v>3.5</v>
      </c>
      <c r="O8" s="189">
        <f t="shared" si="2"/>
        <v>131.5</v>
      </c>
    </row>
    <row r="9" spans="1:15" x14ac:dyDescent="0.2">
      <c r="A9" s="186">
        <v>43858</v>
      </c>
      <c r="B9" s="186" t="s">
        <v>110</v>
      </c>
      <c r="C9" s="190">
        <v>10</v>
      </c>
      <c r="D9" s="190">
        <v>32</v>
      </c>
      <c r="E9" s="190">
        <v>32</v>
      </c>
      <c r="F9" s="190">
        <v>10</v>
      </c>
      <c r="G9" s="190">
        <f t="shared" si="0"/>
        <v>84</v>
      </c>
      <c r="H9" s="189">
        <v>1.2</v>
      </c>
      <c r="I9" s="190">
        <v>5</v>
      </c>
      <c r="J9" s="191">
        <v>5</v>
      </c>
      <c r="K9" s="190">
        <v>5</v>
      </c>
      <c r="L9" s="190">
        <v>0</v>
      </c>
      <c r="M9" s="190">
        <f t="shared" si="1"/>
        <v>15</v>
      </c>
      <c r="N9" s="189">
        <v>3.5</v>
      </c>
      <c r="O9" s="189">
        <f t="shared" si="2"/>
        <v>153.30000000000001</v>
      </c>
    </row>
    <row r="10" spans="1:15" x14ac:dyDescent="0.2">
      <c r="A10" s="186">
        <v>43862</v>
      </c>
      <c r="B10" s="186" t="s">
        <v>110</v>
      </c>
      <c r="C10" s="190">
        <v>15</v>
      </c>
      <c r="D10" s="190">
        <v>15</v>
      </c>
      <c r="E10" s="190">
        <v>15</v>
      </c>
      <c r="F10" s="190">
        <v>0</v>
      </c>
      <c r="G10" s="190">
        <f t="shared" si="0"/>
        <v>45</v>
      </c>
      <c r="H10" s="189">
        <v>1.2</v>
      </c>
      <c r="I10" s="190">
        <v>5</v>
      </c>
      <c r="J10" s="191">
        <v>5</v>
      </c>
      <c r="K10" s="190">
        <v>5</v>
      </c>
      <c r="L10" s="190">
        <v>0</v>
      </c>
      <c r="M10" s="190">
        <f t="shared" si="1"/>
        <v>15</v>
      </c>
      <c r="N10" s="189">
        <v>3.5</v>
      </c>
      <c r="O10" s="189">
        <f t="shared" si="2"/>
        <v>106.5</v>
      </c>
    </row>
    <row r="11" spans="1:15" x14ac:dyDescent="0.2">
      <c r="A11" s="186">
        <v>43874</v>
      </c>
      <c r="B11" s="186" t="s">
        <v>110</v>
      </c>
      <c r="C11" s="190">
        <v>15</v>
      </c>
      <c r="D11" s="190">
        <v>15</v>
      </c>
      <c r="E11" s="190">
        <v>15</v>
      </c>
      <c r="F11" s="190">
        <v>0</v>
      </c>
      <c r="G11" s="190">
        <f t="shared" si="0"/>
        <v>45</v>
      </c>
      <c r="H11" s="189">
        <v>1.2</v>
      </c>
      <c r="I11" s="190">
        <v>5</v>
      </c>
      <c r="J11" s="191">
        <v>5</v>
      </c>
      <c r="K11" s="190">
        <v>5</v>
      </c>
      <c r="L11" s="190">
        <v>0</v>
      </c>
      <c r="M11" s="190">
        <f t="shared" si="1"/>
        <v>15</v>
      </c>
      <c r="N11" s="189">
        <v>3.5</v>
      </c>
      <c r="O11" s="189">
        <f t="shared" si="2"/>
        <v>106.5</v>
      </c>
    </row>
    <row r="12" spans="1:15" x14ac:dyDescent="0.2">
      <c r="A12" s="186">
        <v>43881</v>
      </c>
      <c r="B12" s="186" t="s">
        <v>110</v>
      </c>
      <c r="C12" s="190">
        <v>10</v>
      </c>
      <c r="D12" s="190">
        <v>10</v>
      </c>
      <c r="E12" s="190">
        <v>10</v>
      </c>
      <c r="F12" s="190">
        <v>10</v>
      </c>
      <c r="G12" s="190">
        <f t="shared" si="0"/>
        <v>40</v>
      </c>
      <c r="H12" s="189">
        <v>1.2</v>
      </c>
      <c r="I12" s="190">
        <v>0</v>
      </c>
      <c r="J12" s="191">
        <v>0</v>
      </c>
      <c r="K12" s="190">
        <v>0</v>
      </c>
      <c r="L12" s="190">
        <v>0</v>
      </c>
      <c r="M12" s="190">
        <f t="shared" si="1"/>
        <v>0</v>
      </c>
      <c r="N12" s="189">
        <v>3.5</v>
      </c>
      <c r="O12" s="189">
        <f t="shared" si="2"/>
        <v>48</v>
      </c>
    </row>
    <row r="13" spans="1:15" x14ac:dyDescent="0.2">
      <c r="A13" s="186">
        <v>43892</v>
      </c>
      <c r="B13" s="186" t="s">
        <v>110</v>
      </c>
      <c r="C13" s="190">
        <v>12</v>
      </c>
      <c r="D13" s="190">
        <v>12</v>
      </c>
      <c r="E13" s="190">
        <v>12</v>
      </c>
      <c r="F13" s="190">
        <v>12</v>
      </c>
      <c r="G13" s="190">
        <f t="shared" si="0"/>
        <v>48</v>
      </c>
      <c r="H13" s="189">
        <v>1.2</v>
      </c>
      <c r="I13" s="190">
        <v>5</v>
      </c>
      <c r="J13" s="191">
        <v>5</v>
      </c>
      <c r="K13" s="190">
        <v>5</v>
      </c>
      <c r="L13" s="190">
        <v>2</v>
      </c>
      <c r="M13" s="190">
        <f t="shared" si="1"/>
        <v>17</v>
      </c>
      <c r="N13" s="189">
        <v>3.5</v>
      </c>
      <c r="O13" s="189">
        <f t="shared" si="2"/>
        <v>117.1</v>
      </c>
    </row>
    <row r="14" spans="1:15" x14ac:dyDescent="0.2">
      <c r="A14" s="186">
        <v>43906</v>
      </c>
      <c r="B14" s="186" t="s">
        <v>110</v>
      </c>
      <c r="C14" s="190">
        <v>12</v>
      </c>
      <c r="D14" s="190">
        <v>10</v>
      </c>
      <c r="E14" s="190">
        <v>12</v>
      </c>
      <c r="F14" s="190">
        <v>12</v>
      </c>
      <c r="G14" s="190">
        <f t="shared" si="0"/>
        <v>46</v>
      </c>
      <c r="H14" s="189">
        <v>1.2</v>
      </c>
      <c r="I14" s="190">
        <v>5</v>
      </c>
      <c r="J14" s="191">
        <v>5</v>
      </c>
      <c r="K14" s="190">
        <v>5</v>
      </c>
      <c r="L14" s="190">
        <v>2</v>
      </c>
      <c r="M14" s="190">
        <f t="shared" si="1"/>
        <v>17</v>
      </c>
      <c r="N14" s="189">
        <v>3.5</v>
      </c>
      <c r="O14" s="189">
        <f t="shared" si="2"/>
        <v>114.69999999999999</v>
      </c>
    </row>
    <row r="15" spans="1:15" x14ac:dyDescent="0.2">
      <c r="A15" s="186"/>
      <c r="B15" s="186"/>
      <c r="C15" s="190"/>
      <c r="D15" s="190"/>
      <c r="E15" s="190"/>
      <c r="F15" s="190"/>
      <c r="G15" s="190"/>
      <c r="H15" s="189"/>
      <c r="I15" s="190"/>
      <c r="J15" s="191"/>
      <c r="K15" s="190"/>
      <c r="L15" s="190"/>
      <c r="M15" s="190"/>
      <c r="N15" s="189"/>
      <c r="O15" s="189"/>
    </row>
    <row r="16" spans="1:15" x14ac:dyDescent="0.2">
      <c r="A16" s="186"/>
      <c r="B16" s="186"/>
      <c r="C16" s="190"/>
      <c r="D16" s="190"/>
      <c r="E16" s="190"/>
      <c r="F16" s="190"/>
      <c r="G16" s="190"/>
      <c r="H16" s="189"/>
      <c r="I16" s="190"/>
      <c r="J16" s="191"/>
      <c r="K16" s="190"/>
      <c r="L16" s="190"/>
      <c r="M16" s="190"/>
      <c r="N16" s="189"/>
      <c r="O16" s="189"/>
    </row>
    <row r="17" spans="1:19" x14ac:dyDescent="0.2">
      <c r="A17" s="186"/>
      <c r="B17" s="186"/>
      <c r="C17" s="190"/>
      <c r="D17" s="190"/>
      <c r="E17" s="190"/>
      <c r="F17" s="190"/>
      <c r="G17" s="190"/>
      <c r="H17" s="189"/>
      <c r="I17" s="190"/>
      <c r="J17" s="191"/>
      <c r="K17" s="190"/>
      <c r="L17" s="190"/>
      <c r="M17" s="190"/>
      <c r="N17" s="189"/>
      <c r="O17" s="189"/>
    </row>
    <row r="18" spans="1:19" x14ac:dyDescent="0.2">
      <c r="A18" s="186"/>
      <c r="B18" s="186"/>
      <c r="C18" s="190"/>
      <c r="D18" s="190"/>
      <c r="E18" s="190"/>
      <c r="F18" s="190"/>
      <c r="G18" s="190"/>
      <c r="H18" s="189"/>
      <c r="I18" s="190"/>
      <c r="J18" s="191"/>
      <c r="K18" s="190"/>
      <c r="L18" s="190"/>
      <c r="M18" s="190"/>
      <c r="N18" s="189"/>
      <c r="O18" s="189"/>
    </row>
    <row r="19" spans="1:19" x14ac:dyDescent="0.2">
      <c r="A19" s="186"/>
      <c r="B19" s="186"/>
      <c r="C19" s="190"/>
      <c r="D19" s="190"/>
      <c r="E19" s="190"/>
      <c r="F19" s="190"/>
      <c r="G19" s="190"/>
      <c r="H19" s="189"/>
      <c r="I19" s="190"/>
      <c r="J19" s="191"/>
      <c r="K19" s="190"/>
      <c r="L19" s="190"/>
      <c r="M19" s="190"/>
      <c r="N19" s="189"/>
      <c r="O19" s="189"/>
      <c r="S19" s="192"/>
    </row>
    <row r="20" spans="1:19" x14ac:dyDescent="0.2">
      <c r="A20" s="186"/>
      <c r="B20" s="186"/>
      <c r="C20" s="190"/>
      <c r="D20" s="190"/>
      <c r="E20" s="190"/>
      <c r="F20" s="190"/>
      <c r="G20" s="190"/>
      <c r="H20" s="189"/>
      <c r="I20" s="190"/>
      <c r="J20" s="191"/>
      <c r="K20" s="190"/>
      <c r="L20" s="190"/>
      <c r="M20" s="190"/>
      <c r="N20" s="189"/>
      <c r="O20" s="189"/>
    </row>
    <row r="21" spans="1:19" x14ac:dyDescent="0.2">
      <c r="A21" s="186"/>
      <c r="B21" s="186"/>
      <c r="C21" s="190"/>
      <c r="D21" s="190"/>
      <c r="E21" s="190"/>
      <c r="F21" s="190"/>
      <c r="G21" s="190"/>
      <c r="H21" s="189"/>
      <c r="I21" s="190"/>
      <c r="J21" s="191"/>
      <c r="K21" s="190"/>
      <c r="L21" s="190"/>
      <c r="M21" s="190"/>
      <c r="N21" s="189"/>
      <c r="O21" s="189"/>
    </row>
    <row r="22" spans="1:19" x14ac:dyDescent="0.2">
      <c r="A22" s="186"/>
      <c r="B22" s="186"/>
      <c r="C22" s="190"/>
      <c r="D22" s="190"/>
      <c r="E22" s="190"/>
      <c r="F22" s="190"/>
      <c r="G22" s="190"/>
      <c r="H22" s="189"/>
      <c r="I22" s="190"/>
      <c r="J22" s="191"/>
      <c r="K22" s="190"/>
      <c r="L22" s="190"/>
      <c r="M22" s="190"/>
      <c r="N22" s="189"/>
      <c r="O22" s="189"/>
    </row>
    <row r="23" spans="1:19" x14ac:dyDescent="0.2">
      <c r="A23" s="186"/>
      <c r="B23" s="186"/>
      <c r="C23" s="190"/>
      <c r="D23" s="190"/>
      <c r="E23" s="190"/>
      <c r="F23" s="190"/>
      <c r="G23" s="190"/>
      <c r="H23" s="189"/>
      <c r="I23" s="190"/>
      <c r="J23" s="191"/>
      <c r="K23" s="190"/>
      <c r="L23" s="190"/>
      <c r="M23" s="190"/>
      <c r="N23" s="189"/>
      <c r="O23" s="189"/>
    </row>
    <row r="24" spans="1:19" x14ac:dyDescent="0.2">
      <c r="A24" s="186"/>
      <c r="B24" s="186"/>
      <c r="C24" s="190"/>
      <c r="D24" s="190"/>
      <c r="E24" s="190"/>
      <c r="F24" s="190"/>
      <c r="G24" s="190"/>
      <c r="H24" s="189"/>
      <c r="I24" s="190"/>
      <c r="J24" s="191"/>
      <c r="K24" s="190"/>
      <c r="L24" s="190"/>
      <c r="M24" s="190"/>
      <c r="N24" s="189"/>
      <c r="O24" s="189"/>
      <c r="P24" s="187"/>
    </row>
    <row r="25" spans="1:19" x14ac:dyDescent="0.2">
      <c r="A25" s="186"/>
      <c r="B25" s="186"/>
      <c r="C25" s="190"/>
      <c r="D25" s="190"/>
      <c r="E25" s="190"/>
      <c r="F25" s="190"/>
      <c r="G25" s="190"/>
      <c r="H25" s="189"/>
      <c r="I25" s="190"/>
      <c r="J25" s="191"/>
      <c r="K25" s="190"/>
      <c r="L25" s="190"/>
      <c r="M25" s="190"/>
      <c r="N25" s="189"/>
      <c r="O25" s="189"/>
    </row>
    <row r="26" spans="1:19" x14ac:dyDescent="0.2">
      <c r="A26" s="186"/>
      <c r="B26" s="186"/>
      <c r="C26" s="190"/>
      <c r="D26" s="190"/>
      <c r="E26" s="190"/>
      <c r="F26" s="190"/>
      <c r="G26" s="190"/>
      <c r="H26" s="189"/>
      <c r="I26" s="190"/>
      <c r="J26" s="191"/>
      <c r="K26" s="190"/>
      <c r="L26" s="190"/>
      <c r="M26" s="190"/>
      <c r="N26" s="189"/>
      <c r="O26" s="189"/>
    </row>
    <row r="27" spans="1:19" x14ac:dyDescent="0.2">
      <c r="A27" s="186"/>
      <c r="B27" s="186"/>
      <c r="C27" s="190"/>
      <c r="D27" s="190"/>
      <c r="E27" s="190"/>
      <c r="F27" s="190"/>
      <c r="G27" s="190"/>
      <c r="H27" s="189"/>
      <c r="I27" s="190"/>
      <c r="J27" s="191"/>
      <c r="K27" s="190"/>
      <c r="L27" s="190"/>
      <c r="M27" s="190"/>
      <c r="N27" s="189"/>
      <c r="O27" s="189"/>
    </row>
  </sheetData>
  <phoneticPr fontId="20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911F9-604B-4BEE-9848-C1EF087770B9}">
  <sheetPr codeName="Planilha5"/>
  <dimension ref="A1:D26"/>
  <sheetViews>
    <sheetView tabSelected="1" workbookViewId="0">
      <selection activeCell="D7" sqref="D7"/>
    </sheetView>
  </sheetViews>
  <sheetFormatPr defaultRowHeight="18" x14ac:dyDescent="0.2"/>
  <cols>
    <col min="1" max="1" width="12.875" style="139" bestFit="1" customWidth="1"/>
    <col min="2" max="3" width="9" style="139"/>
    <col min="4" max="4" width="13.5" style="139" bestFit="1" customWidth="1"/>
    <col min="5" max="5" width="9" style="139"/>
    <col min="6" max="6" width="10.875" style="139" bestFit="1" customWidth="1"/>
    <col min="7" max="16384" width="9" style="139"/>
  </cols>
  <sheetData>
    <row r="1" spans="1:4" x14ac:dyDescent="0.2">
      <c r="D1" s="140" t="s">
        <v>124</v>
      </c>
    </row>
    <row r="2" spans="1:4" x14ac:dyDescent="0.2">
      <c r="D2" s="182">
        <f ca="1">TODAY()</f>
        <v>43940</v>
      </c>
    </row>
    <row r="15" spans="1:4" x14ac:dyDescent="0.2">
      <c r="A15" s="139" t="s">
        <v>129</v>
      </c>
      <c r="B15" s="139" t="s">
        <v>130</v>
      </c>
    </row>
    <row r="26" spans="1:2" x14ac:dyDescent="0.2">
      <c r="A26" s="139" t="s">
        <v>129</v>
      </c>
      <c r="B26" s="139" t="s">
        <v>130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Preço stock</vt:lpstr>
      <vt:lpstr>Custo Producao</vt:lpstr>
      <vt:lpstr>BOLINHOS</vt:lpstr>
      <vt:lpstr>Quant stock</vt:lpstr>
      <vt:lpstr>Calculadora</vt:lpstr>
      <vt:lpstr>Clientes</vt:lpstr>
      <vt:lpstr>Vendas</vt:lpstr>
      <vt:lpstr>Home</vt:lpstr>
      <vt:lpstr>tb_vendas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Familia</dc:creator>
  <cp:lastModifiedBy>Usuário do Windows</cp:lastModifiedBy>
  <dcterms:created xsi:type="dcterms:W3CDTF">2019-04-01T21:57:28Z</dcterms:created>
  <dcterms:modified xsi:type="dcterms:W3CDTF">2020-04-19T14:03:09Z</dcterms:modified>
</cp:coreProperties>
</file>